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Goals &amp; Setup" sheetId="2" r:id="rId5"/>
    <sheet state="visible" name="Monthly Data" sheetId="3" r:id="rId6"/>
    <sheet state="visible" name="Dashboard" sheetId="4" r:id="rId7"/>
    <sheet state="visible" name="Daily Prospector CC Tracker" sheetId="5" r:id="rId8"/>
    <sheet state="visible" name="Lead Manager Tracker" sheetId="6" r:id="rId9"/>
    <sheet state="visible" name="Transactions" sheetId="7" r:id="rId10"/>
    <sheet state="visible" name="Expenses" sheetId="8" r:id="rId11"/>
    <sheet state="visible" name="Direct Mail" sheetId="9" r:id="rId12"/>
    <sheet state="visible" name="Review Dashboard" sheetId="10" r:id="rId13"/>
  </sheets>
  <definedNames/>
  <calcPr/>
  <extLst>
    <ext uri="GoogleSheetsCustomDataVersion2">
      <go:sheetsCustomData xmlns:go="http://customooxmlschemas.google.com/" r:id="rId14" roundtripDataChecksum="lOv+NHBFjmLmU20PuNefARXzU8fwpVsp44lzwpN+deg="/>
    </ext>
  </extLst>
</workbook>
</file>

<file path=xl/sharedStrings.xml><?xml version="1.0" encoding="utf-8"?>
<sst xmlns="http://schemas.openxmlformats.org/spreadsheetml/2006/main" count="3512" uniqueCount="939">
  <si>
    <t>📊 DATASIFT KPI COMMAND CENTER</t>
  </si>
  <si>
    <t>Your Complete Business Performance Dashboard</t>
  </si>
  <si>
    <t>👋 WELCOME! Here's how to use this dashboard:</t>
  </si>
  <si>
    <t>1️⃣</t>
  </si>
  <si>
    <t>YELLOW CELLS = INPUT</t>
  </si>
  <si>
    <t>These are the ONLY cells you need to edit. Enter your data here.</t>
  </si>
  <si>
    <t>2️⃣</t>
  </si>
  <si>
    <t>GREEN CELLS = AUTO-CALC</t>
  </si>
  <si>
    <t>These update automatically. Never edit these - they contain formulas.</t>
  </si>
  <si>
    <t>3️⃣</t>
  </si>
  <si>
    <t>CHARTS UPDATE LIVE</t>
  </si>
  <si>
    <t>All charts refresh instantly when you change any yellow input cell.</t>
  </si>
  <si>
    <t>4️⃣</t>
  </si>
  <si>
    <t>START WITH GOALS</t>
  </si>
  <si>
    <t>Go to 'Goals &amp; Setup' tab first to set your targets.</t>
  </si>
  <si>
    <t>5️⃣</t>
  </si>
  <si>
    <t>ENTER MONTHLY DATA</t>
  </si>
  <si>
    <t>Then go to 'Monthly Data' tab to enter your actual performance.</t>
  </si>
  <si>
    <t>6️⃣</t>
  </si>
  <si>
    <t>VIEW YOUR DASHBOARD</t>
  </si>
  <si>
    <t>Check 'Dashboard' tab to see your performance at a glance.</t>
  </si>
  <si>
    <t>🎨 COLOR LEGEND</t>
  </si>
  <si>
    <t>Yellow</t>
  </si>
  <si>
    <t>INPUT - Enter your data here</t>
  </si>
  <si>
    <t>Green</t>
  </si>
  <si>
    <t>AUTO-CALCULATED - Don't edit</t>
  </si>
  <si>
    <t>Light Green</t>
  </si>
  <si>
    <t>ON TARGET - Meeting goals</t>
  </si>
  <si>
    <t>Orange</t>
  </si>
  <si>
    <t>WARNING - Below target</t>
  </si>
  <si>
    <t>Red</t>
  </si>
  <si>
    <t>NEEDS ATTENTION - Significantly below target</t>
  </si>
  <si>
    <t>📑 SHEET GUIDE</t>
  </si>
  <si>
    <t>→</t>
  </si>
  <si>
    <t>Goals &amp; Setup</t>
  </si>
  <si>
    <t>Set your annual goals and business parameters</t>
  </si>
  <si>
    <t>START HERE FIRST</t>
  </si>
  <si>
    <t>Monthly Data</t>
  </si>
  <si>
    <t>Enter your monthly performance numbers</t>
  </si>
  <si>
    <t>UPDATE MONTHLY</t>
  </si>
  <si>
    <t>Dashboard</t>
  </si>
  <si>
    <t>View your KPIs, charts, and performance summary</t>
  </si>
  <si>
    <t>CHECK DAILY/WEEKLY</t>
  </si>
  <si>
    <t>Daily Tracker</t>
  </si>
  <si>
    <t>Track daily prospecting and calling activity</t>
  </si>
  <si>
    <t>OPTIONAL - FOR Caller NameS</t>
  </si>
  <si>
    <t>Lead Manager Tracker</t>
  </si>
  <si>
    <t>Track daily lead management activity</t>
  </si>
  <si>
    <t>OPTIONAL - FOR LEAD MANAGERS</t>
  </si>
  <si>
    <t>⚙️ GOALS &amp; SETUP</t>
  </si>
  <si>
    <t>📋 Enter your business goals below. These drive all calculations in the dashboard.</t>
  </si>
  <si>
    <t>💰 REVENUE GOALS</t>
  </si>
  <si>
    <t>Setting</t>
  </si>
  <si>
    <t>Your Value</t>
  </si>
  <si>
    <t>Description</t>
  </si>
  <si>
    <t>Example</t>
  </si>
  <si>
    <t>Annual Revenue Goal</t>
  </si>
  <si>
    <t>Your target revenue for the year</t>
  </si>
  <si>
    <t>$500K - $2M typical</t>
  </si>
  <si>
    <t>Average Deal Size</t>
  </si>
  <si>
    <t>Average profit per closed deal</t>
  </si>
  <si>
    <t>$15K - $50K typical</t>
  </si>
  <si>
    <t>Close Rate</t>
  </si>
  <si>
    <t>% of contracts that close</t>
  </si>
  <si>
    <t>70-85% typical</t>
  </si>
  <si>
    <t>📊 YOUR CONVERSION RATIOS</t>
  </si>
  <si>
    <t>📋 These ratios come from your historical data. Update them as you get more data.</t>
  </si>
  <si>
    <t>Ratio</t>
  </si>
  <si>
    <t>What It Means</t>
  </si>
  <si>
    <t>Industry Avg</t>
  </si>
  <si>
    <t>Dials per Lead</t>
  </si>
  <si>
    <t>How many dials to get 1 lead</t>
  </si>
  <si>
    <t>60-100</t>
  </si>
  <si>
    <t xml:space="preserve">FTM Dials </t>
  </si>
  <si>
    <t>Leads per Contract</t>
  </si>
  <si>
    <t>How many leads to get 1 contract</t>
  </si>
  <si>
    <t>40-70</t>
  </si>
  <si>
    <t>Bulk Seq</t>
  </si>
  <si>
    <t>Offers per Contract</t>
  </si>
  <si>
    <t>How many offers to get 1 contract</t>
  </si>
  <si>
    <t>5-10</t>
  </si>
  <si>
    <t>🎯 YOUR CALCULATED REQUIREMENTS</t>
  </si>
  <si>
    <t>📋 These are auto-calculated based on your goals above. This is what you need to hit your revenue target.</t>
  </si>
  <si>
    <t>Metric</t>
  </si>
  <si>
    <t>Annual</t>
  </si>
  <si>
    <t>Monthly</t>
  </si>
  <si>
    <t>Weekly</t>
  </si>
  <si>
    <t>Deals Required</t>
  </si>
  <si>
    <t>Contracts Required</t>
  </si>
  <si>
    <t>Offers Required</t>
  </si>
  <si>
    <t>Leads Required</t>
  </si>
  <si>
    <t>Dials Required</t>
  </si>
  <si>
    <t>📋 LEAD MANAGER TARGETS</t>
  </si>
  <si>
    <t>Set daily targets for your Lead Manager. These drive accountability and pipeline health.</t>
  </si>
  <si>
    <t>Daily Target</t>
  </si>
  <si>
    <t>Benchmark</t>
  </si>
  <si>
    <t>Attempts per Day</t>
  </si>
  <si>
    <t>Total leads touched (new + follow-up)</t>
  </si>
  <si>
    <t>40-60 typical</t>
  </si>
  <si>
    <t>New Leads Called</t>
  </si>
  <si>
    <t>First-time contacts on inbound leads</t>
  </si>
  <si>
    <t>3-8 typical</t>
  </si>
  <si>
    <t>Follow-ups per Day</t>
  </si>
  <si>
    <t>CRM follow-up tasks completed</t>
  </si>
  <si>
    <t>15-30 typical</t>
  </si>
  <si>
    <t>Leads Qualified per Day</t>
  </si>
  <si>
    <t>Passed 4 Pillars check</t>
  </si>
  <si>
    <t>2-5 typical</t>
  </si>
  <si>
    <t>Appts Set per Day</t>
  </si>
  <si>
    <t>Qualified leads sent to closer</t>
  </si>
  <si>
    <t>1-3 typical</t>
  </si>
  <si>
    <t>📅 MONTHLY PERFORMANCE DATA</t>
  </si>
  <si>
    <t>📋 Enter your monthly numbers in the YELLOW cells below. Totals calculate automatically.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</si>
  <si>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</si>
  <si>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</si>
  <si>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</si>
  <si>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</si>
  <si>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</si>
  <si>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</si>
  <si>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</si>
  <si>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</si>
  <si>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</si>
  <si>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</si>
  <si>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</si>
  <si>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</si>
  <si>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</si>
  <si>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</si>
  <si>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TARGET</t>
  </si>
  <si>
    <t>📞 LEAD GENERATION</t>
  </si>
  <si>
    <t>32 dials = correct number</t>
  </si>
  <si>
    <t>Dials Made</t>
  </si>
  <si>
    <t>Correct Numbers</t>
  </si>
  <si>
    <t>-</t>
  </si>
  <si>
    <t>Leads Generated</t>
  </si>
  <si>
    <t>🎯 LEAD MANAGEMENT</t>
  </si>
  <si>
    <t>Leads Qualified</t>
  </si>
  <si>
    <t>Offer Appointments</t>
  </si>
  <si>
    <t>📝 ACQUISITIONS</t>
  </si>
  <si>
    <t>Offers Made</t>
  </si>
  <si>
    <t>Contracts Signed</t>
  </si>
  <si>
    <t>Booked Revenue</t>
  </si>
  <si>
    <t>💰 DISPOSITION</t>
  </si>
  <si>
    <t>Closed Deals</t>
  </si>
  <si>
    <t>Closed Revenue</t>
  </si>
  <si>
    <t>💸 MARKETING COSTS</t>
  </si>
  <si>
    <t>SMS/Text Spend</t>
  </si>
  <si>
    <t>Calling Spend</t>
  </si>
  <si>
    <t>Direct Mail Spend</t>
  </si>
  <si>
    <t>Deep Prospecting Spend</t>
  </si>
  <si>
    <t>Door Knocking Spend</t>
  </si>
  <si>
    <t>Total Marketing Spend</t>
  </si>
  <si>
    <t>📊 PERFORMANCE DASHBOARD</t>
  </si>
  <si>
    <t>🏆 SCORECARD - Year to Date</t>
  </si>
  <si>
    <t>Actual</t>
  </si>
  <si>
    <t>Target</t>
  </si>
  <si>
    <t>% of Target</t>
  </si>
  <si>
    <t>Status</t>
  </si>
  <si>
    <t>Gap</t>
  </si>
  <si>
    <t>Total Dials</t>
  </si>
  <si>
    <t>📈 KEY EFFICIENCY RATIOS</t>
  </si>
  <si>
    <t>Cost per Lead</t>
  </si>
  <si>
    <t>50</t>
  </si>
  <si>
    <t>ROI</t>
  </si>
  <si>
    <t>10</t>
  </si>
  <si>
    <t>💵 FINANCIAL SUMMARY</t>
  </si>
  <si>
    <t>Amount</t>
  </si>
  <si>
    <t>Notes</t>
  </si>
  <si>
    <t>Total Closed Revenue</t>
  </si>
  <si>
    <t>Actual revenue collected</t>
  </si>
  <si>
    <t>Total Booked Revenue</t>
  </si>
  <si>
    <t>Revenue under contract</t>
  </si>
  <si>
    <t>All marketing costs</t>
  </si>
  <si>
    <t>Net Profit (from Marketing)</t>
  </si>
  <si>
    <t>Revenue minus marketing</t>
  </si>
  <si>
    <t>Overall ROI</t>
  </si>
  <si>
    <t>Return on marketing spend</t>
  </si>
  <si>
    <t>💰 TRUE PROFIT &amp; LOSS</t>
  </si>
  <si>
    <t>All closed deals</t>
  </si>
  <si>
    <t>Total Team Costs</t>
  </si>
  <si>
    <t>Annual team payroll</t>
  </si>
  <si>
    <t>Total Software Costs</t>
  </si>
  <si>
    <t>Annual software/tools</t>
  </si>
  <si>
    <t>All marketing channels</t>
  </si>
  <si>
    <t>Total All Expenses</t>
  </si>
  <si>
    <t>Team + software + marketing</t>
  </si>
  <si>
    <t>True Net Profit</t>
  </si>
  <si>
    <t>Revenue minus ALL costs</t>
  </si>
  <si>
    <t>Net Margin %</t>
  </si>
  <si>
    <t>Target: 30-50%</t>
  </si>
  <si>
    <t>📅 2026 DAILY ACTIVITY TRACKER- Caller 1</t>
  </si>
  <si>
    <t>📋 Track daily prospecting activity organized by week. Enter data in YELLOW cells. Weekly totals calculate automatically.</t>
  </si>
  <si>
    <t>📆 WEEK 1 | Dec 29 - Jan 04, 2026</t>
  </si>
  <si>
    <t>Day</t>
  </si>
  <si>
    <t>Date</t>
  </si>
  <si>
    <t>Caller Name</t>
  </si>
  <si>
    <t>Hours</t>
  </si>
  <si>
    <t>Dials</t>
  </si>
  <si>
    <t>Correct #</t>
  </si>
  <si>
    <t>Leads</t>
  </si>
  <si>
    <t>Appts</t>
  </si>
  <si>
    <t>Contracts</t>
  </si>
  <si>
    <t>Mon</t>
  </si>
  <si>
    <t xml:space="preserve">Ty </t>
  </si>
  <si>
    <t>Tue</t>
  </si>
  <si>
    <t>Wed</t>
  </si>
  <si>
    <t>Thu</t>
  </si>
  <si>
    <t>Fri</t>
  </si>
  <si>
    <t>Sat</t>
  </si>
  <si>
    <t>01/03</t>
  </si>
  <si>
    <t>Sun</t>
  </si>
  <si>
    <t>01/04</t>
  </si>
  <si>
    <t>WEEK TOTAL</t>
  </si>
  <si>
    <t>📆 WEEK 2 | Jan 05 - Jan 11, 2026</t>
  </si>
  <si>
    <t>01/05</t>
  </si>
  <si>
    <t>Ty</t>
  </si>
  <si>
    <t>01/06</t>
  </si>
  <si>
    <t>01/07</t>
  </si>
  <si>
    <t>01/08</t>
  </si>
  <si>
    <t>01/09</t>
  </si>
  <si>
    <t>01/10</t>
  </si>
  <si>
    <t>01/11</t>
  </si>
  <si>
    <t>📆 WEEK 3 | Jan 12 - Jan 18, 2026</t>
  </si>
  <si>
    <t>01/12</t>
  </si>
  <si>
    <t>01/13</t>
  </si>
  <si>
    <t>01/14</t>
  </si>
  <si>
    <t>01/15</t>
  </si>
  <si>
    <t>01/16</t>
  </si>
  <si>
    <t>01/17</t>
  </si>
  <si>
    <t>01/18</t>
  </si>
  <si>
    <t>📆 WEEK 4 | Jan 19 - Jan 25, 2026</t>
  </si>
  <si>
    <t>01/19</t>
  </si>
  <si>
    <t>01/20</t>
  </si>
  <si>
    <t>01/21</t>
  </si>
  <si>
    <t>01/22</t>
  </si>
  <si>
    <t>01/23</t>
  </si>
  <si>
    <t>01/24</t>
  </si>
  <si>
    <t>01/25</t>
  </si>
  <si>
    <t>📆 WEEK 5 | Jan 26 - Feb 01, 2026</t>
  </si>
  <si>
    <t>01/26</t>
  </si>
  <si>
    <t>01/27</t>
  </si>
  <si>
    <t>01/28</t>
  </si>
  <si>
    <t>01/29</t>
  </si>
  <si>
    <t>01/30</t>
  </si>
  <si>
    <t>01/31</t>
  </si>
  <si>
    <t>02/01</t>
  </si>
  <si>
    <t>📆 WEEK 6 | Feb 02 - Feb 08, 2026</t>
  </si>
  <si>
    <t>02/02</t>
  </si>
  <si>
    <t>02/03</t>
  </si>
  <si>
    <t>02/04</t>
  </si>
  <si>
    <t>02/05</t>
  </si>
  <si>
    <t>02/06</t>
  </si>
  <si>
    <t>02/07</t>
  </si>
  <si>
    <t>02/08</t>
  </si>
  <si>
    <t>📆 WEEK 7 | Feb 09 - Feb 15, 2026</t>
  </si>
  <si>
    <t>02/09</t>
  </si>
  <si>
    <t>02/10</t>
  </si>
  <si>
    <t>02/11</t>
  </si>
  <si>
    <t>02/12</t>
  </si>
  <si>
    <t>02/13</t>
  </si>
  <si>
    <t>02/14</t>
  </si>
  <si>
    <t>02/15</t>
  </si>
  <si>
    <t>📆 WEEK 8 | Feb 16 - Feb 22, 2026</t>
  </si>
  <si>
    <t>02/16</t>
  </si>
  <si>
    <t>02/17</t>
  </si>
  <si>
    <t>02/18</t>
  </si>
  <si>
    <t>02/19</t>
  </si>
  <si>
    <t>02/20</t>
  </si>
  <si>
    <t>02/21</t>
  </si>
  <si>
    <t>02/22</t>
  </si>
  <si>
    <t>📆 WEEK 9 | Feb 23 - Mar 01, 2026</t>
  </si>
  <si>
    <t>02/23</t>
  </si>
  <si>
    <t>02/24</t>
  </si>
  <si>
    <t>02/25</t>
  </si>
  <si>
    <t>02/26</t>
  </si>
  <si>
    <t>02/27</t>
  </si>
  <si>
    <t>02/28</t>
  </si>
  <si>
    <t>03/01</t>
  </si>
  <si>
    <t>📆 WEEK 10 | Mar 02 - Mar 08, 2026</t>
  </si>
  <si>
    <t>03/02</t>
  </si>
  <si>
    <t>03/03</t>
  </si>
  <si>
    <t>03/04</t>
  </si>
  <si>
    <t>03/05</t>
  </si>
  <si>
    <t>03/06</t>
  </si>
  <si>
    <t>03/07</t>
  </si>
  <si>
    <t>03/08</t>
  </si>
  <si>
    <t>📆 WEEK 11 | Mar 09 - Mar 15, 2026</t>
  </si>
  <si>
    <t>03/09</t>
  </si>
  <si>
    <t>03/10</t>
  </si>
  <si>
    <t>03/11</t>
  </si>
  <si>
    <t>03/12</t>
  </si>
  <si>
    <t>03/13</t>
  </si>
  <si>
    <t>03/14</t>
  </si>
  <si>
    <t>03/15</t>
  </si>
  <si>
    <t>📆 WEEK 12 | Mar 16 - Mar 22, 2026</t>
  </si>
  <si>
    <t>03/16</t>
  </si>
  <si>
    <t>03/17</t>
  </si>
  <si>
    <t>03/18</t>
  </si>
  <si>
    <t>03/19</t>
  </si>
  <si>
    <t>03/20</t>
  </si>
  <si>
    <t>03/21</t>
  </si>
  <si>
    <t>03/22</t>
  </si>
  <si>
    <t>📆 WEEK 13 | Mar 23 - Mar 29, 2026</t>
  </si>
  <si>
    <t>03/23</t>
  </si>
  <si>
    <t>03/24</t>
  </si>
  <si>
    <t>03/25</t>
  </si>
  <si>
    <t>03/26</t>
  </si>
  <si>
    <t>03/27</t>
  </si>
  <si>
    <t>03/28</t>
  </si>
  <si>
    <t>03/29</t>
  </si>
  <si>
    <t>📆 WEEK 14 | Mar 30 - Apr 05, 2026</t>
  </si>
  <si>
    <t>03/30</t>
  </si>
  <si>
    <t>03/31</t>
  </si>
  <si>
    <t>04/01</t>
  </si>
  <si>
    <t>04/02</t>
  </si>
  <si>
    <t>04/03</t>
  </si>
  <si>
    <t>04/04</t>
  </si>
  <si>
    <t>04/05</t>
  </si>
  <si>
    <t>📆 WEEK 15 | Apr 06 - Apr 12, 2026</t>
  </si>
  <si>
    <t>04/06</t>
  </si>
  <si>
    <t>04/07</t>
  </si>
  <si>
    <t>04/08</t>
  </si>
  <si>
    <t>04/09</t>
  </si>
  <si>
    <t>04/10</t>
  </si>
  <si>
    <t>04/11</t>
  </si>
  <si>
    <t>04/12</t>
  </si>
  <si>
    <t>📆 WEEK 16 | Apr 13 - Apr 19, 2026</t>
  </si>
  <si>
    <t>04/13</t>
  </si>
  <si>
    <t>04/14</t>
  </si>
  <si>
    <t>04/15</t>
  </si>
  <si>
    <t>04/16</t>
  </si>
  <si>
    <t>04/17</t>
  </si>
  <si>
    <t>04/18</t>
  </si>
  <si>
    <t>04/19</t>
  </si>
  <si>
    <t>📆 WEEK 17 | Apr 20 - Apr 26, 2026</t>
  </si>
  <si>
    <t>04/20</t>
  </si>
  <si>
    <t>04/21</t>
  </si>
  <si>
    <t>04/22</t>
  </si>
  <si>
    <t>04/23</t>
  </si>
  <si>
    <t>04/24</t>
  </si>
  <si>
    <t>04/25</t>
  </si>
  <si>
    <t>04/26</t>
  </si>
  <si>
    <t>📆 WEEK 18 | Apr 27 - May 03, 2026</t>
  </si>
  <si>
    <t>04/27</t>
  </si>
  <si>
    <t>04/28</t>
  </si>
  <si>
    <t>04/29</t>
  </si>
  <si>
    <t>04/30</t>
  </si>
  <si>
    <t>05/01</t>
  </si>
  <si>
    <t>05/02</t>
  </si>
  <si>
    <t>05/03</t>
  </si>
  <si>
    <t>📆 WEEK 19 | May 04 - May 10, 2026</t>
  </si>
  <si>
    <t>05/04</t>
  </si>
  <si>
    <t>05/05</t>
  </si>
  <si>
    <t>05/06</t>
  </si>
  <si>
    <t>05/07</t>
  </si>
  <si>
    <t>05/08</t>
  </si>
  <si>
    <t>05/09</t>
  </si>
  <si>
    <t>05/10</t>
  </si>
  <si>
    <t>📆 WEEK 20 | May 11 - May 17, 2026</t>
  </si>
  <si>
    <t>05/11</t>
  </si>
  <si>
    <t>05/12</t>
  </si>
  <si>
    <t>05/13</t>
  </si>
  <si>
    <t>05/14</t>
  </si>
  <si>
    <t>05/15</t>
  </si>
  <si>
    <t>05/16</t>
  </si>
  <si>
    <t>05/17</t>
  </si>
  <si>
    <t>📆 WEEK 21 | May 18 - May 24, 2026</t>
  </si>
  <si>
    <t>05/18</t>
  </si>
  <si>
    <t>05/19</t>
  </si>
  <si>
    <t>05/20</t>
  </si>
  <si>
    <t>05/21</t>
  </si>
  <si>
    <t>05/22</t>
  </si>
  <si>
    <t>05/23</t>
  </si>
  <si>
    <t>05/24</t>
  </si>
  <si>
    <t>📆 WEEK 22 | May 25 - May 31, 2026</t>
  </si>
  <si>
    <t>05/25</t>
  </si>
  <si>
    <t>05/26</t>
  </si>
  <si>
    <t>05/27</t>
  </si>
  <si>
    <t>05/28</t>
  </si>
  <si>
    <t>05/29</t>
  </si>
  <si>
    <t>05/30</t>
  </si>
  <si>
    <t>05/31</t>
  </si>
  <si>
    <t>📆 WEEK 23 | Jun 01 - Jun 07, 2026</t>
  </si>
  <si>
    <t>06/01</t>
  </si>
  <si>
    <t>06/02</t>
  </si>
  <si>
    <t>06/03</t>
  </si>
  <si>
    <t>06/04</t>
  </si>
  <si>
    <t>06/05</t>
  </si>
  <si>
    <t>06/06</t>
  </si>
  <si>
    <t>06/07</t>
  </si>
  <si>
    <t>📆 WEEK 24 | Jun 08 - Jun 14, 2026</t>
  </si>
  <si>
    <t>06/08</t>
  </si>
  <si>
    <t>06/09</t>
  </si>
  <si>
    <t>06/10</t>
  </si>
  <si>
    <t>06/11</t>
  </si>
  <si>
    <t>06/12</t>
  </si>
  <si>
    <t>06/13</t>
  </si>
  <si>
    <t>06/14</t>
  </si>
  <si>
    <t>📆 WEEK 25 | Jun 15 - Jun 21, 2026</t>
  </si>
  <si>
    <t>06/15</t>
  </si>
  <si>
    <t>06/16</t>
  </si>
  <si>
    <t>06/17</t>
  </si>
  <si>
    <t>06/18</t>
  </si>
  <si>
    <t>06/19</t>
  </si>
  <si>
    <t>06/20</t>
  </si>
  <si>
    <t>06/21</t>
  </si>
  <si>
    <t>📆 WEEK 26 | Jun 22 - Jun 28, 2026</t>
  </si>
  <si>
    <t>06/22</t>
  </si>
  <si>
    <t>06/23</t>
  </si>
  <si>
    <t>06/24</t>
  </si>
  <si>
    <t>06/25</t>
  </si>
  <si>
    <t>06/26</t>
  </si>
  <si>
    <t>06/27</t>
  </si>
  <si>
    <t>06/28</t>
  </si>
  <si>
    <t>📆 WEEK 27 | Jun 29 - Jul 05, 2026</t>
  </si>
  <si>
    <t>06/29</t>
  </si>
  <si>
    <t>06/30</t>
  </si>
  <si>
    <t>07/01</t>
  </si>
  <si>
    <t>07/02</t>
  </si>
  <si>
    <t>07/03</t>
  </si>
  <si>
    <t>07/04</t>
  </si>
  <si>
    <t>07/05</t>
  </si>
  <si>
    <t>📆 WEEK 28 | Jul 06 - Jul 12, 2026</t>
  </si>
  <si>
    <t>07/06</t>
  </si>
  <si>
    <t>07/07</t>
  </si>
  <si>
    <t>07/08</t>
  </si>
  <si>
    <t>07/09</t>
  </si>
  <si>
    <t>07/10</t>
  </si>
  <si>
    <t>07/11</t>
  </si>
  <si>
    <t>07/12</t>
  </si>
  <si>
    <t>📆 WEEK 29 | Jul 13 - Jul 19, 2026</t>
  </si>
  <si>
    <t>07/13</t>
  </si>
  <si>
    <t>07/14</t>
  </si>
  <si>
    <t>07/15</t>
  </si>
  <si>
    <t>07/16</t>
  </si>
  <si>
    <t>07/17</t>
  </si>
  <si>
    <t>07/18</t>
  </si>
  <si>
    <t>07/19</t>
  </si>
  <si>
    <t>📆 WEEK 30 | Jul 20 - Jul 26, 2026</t>
  </si>
  <si>
    <t>07/20</t>
  </si>
  <si>
    <t>07/21</t>
  </si>
  <si>
    <t>07/22</t>
  </si>
  <si>
    <t>07/23</t>
  </si>
  <si>
    <t>07/24</t>
  </si>
  <si>
    <t>07/25</t>
  </si>
  <si>
    <t>07/26</t>
  </si>
  <si>
    <t>📆 WEEK 31 | Jul 27 - Aug 02, 2026</t>
  </si>
  <si>
    <t>07/27</t>
  </si>
  <si>
    <t>07/28</t>
  </si>
  <si>
    <t>07/29</t>
  </si>
  <si>
    <t>07/30</t>
  </si>
  <si>
    <t>07/31</t>
  </si>
  <si>
    <t>08/01</t>
  </si>
  <si>
    <t>08/02</t>
  </si>
  <si>
    <t>📆 WEEK 32 | Aug 03 - Aug 09, 2026</t>
  </si>
  <si>
    <t>08/03</t>
  </si>
  <si>
    <t>08/04</t>
  </si>
  <si>
    <t>08/05</t>
  </si>
  <si>
    <t>08/06</t>
  </si>
  <si>
    <t>08/07</t>
  </si>
  <si>
    <t>08/08</t>
  </si>
  <si>
    <t>08/09</t>
  </si>
  <si>
    <t>📆 WEEK 33 | Aug 10 - Aug 16, 2026</t>
  </si>
  <si>
    <t>08/10</t>
  </si>
  <si>
    <t>08/11</t>
  </si>
  <si>
    <t>08/12</t>
  </si>
  <si>
    <t>08/13</t>
  </si>
  <si>
    <t>08/14</t>
  </si>
  <si>
    <t>08/15</t>
  </si>
  <si>
    <t>08/16</t>
  </si>
  <si>
    <t>📆 WEEK 34 | Aug 17 - Aug 23, 2026</t>
  </si>
  <si>
    <t>08/17</t>
  </si>
  <si>
    <t>08/18</t>
  </si>
  <si>
    <t>08/19</t>
  </si>
  <si>
    <t>08/20</t>
  </si>
  <si>
    <t>08/21</t>
  </si>
  <si>
    <t>08/22</t>
  </si>
  <si>
    <t>08/23</t>
  </si>
  <si>
    <t>📆 WEEK 35 | Aug 24 - Aug 30, 2026</t>
  </si>
  <si>
    <t>08/24</t>
  </si>
  <si>
    <t>08/25</t>
  </si>
  <si>
    <t>08/26</t>
  </si>
  <si>
    <t>08/27</t>
  </si>
  <si>
    <t>08/28</t>
  </si>
  <si>
    <t>08/29</t>
  </si>
  <si>
    <t>08/30</t>
  </si>
  <si>
    <t>📆 WEEK 36 | Aug 31 - Sep 06, 2026</t>
  </si>
  <si>
    <t>08/31</t>
  </si>
  <si>
    <t>09/01</t>
  </si>
  <si>
    <t>09/02</t>
  </si>
  <si>
    <t>09/03</t>
  </si>
  <si>
    <t>09/04</t>
  </si>
  <si>
    <t>09/05</t>
  </si>
  <si>
    <t>09/06</t>
  </si>
  <si>
    <t>📆 WEEK 37 | Sep 07 - Sep 13, 2026</t>
  </si>
  <si>
    <t>09/07</t>
  </si>
  <si>
    <t>09/08</t>
  </si>
  <si>
    <t>09/09</t>
  </si>
  <si>
    <t>09/10</t>
  </si>
  <si>
    <t>09/11</t>
  </si>
  <si>
    <t>09/12</t>
  </si>
  <si>
    <t>09/13</t>
  </si>
  <si>
    <t>📆 WEEK 38 | Sep 14 - Sep 20, 2026</t>
  </si>
  <si>
    <t>09/14</t>
  </si>
  <si>
    <t>09/15</t>
  </si>
  <si>
    <t>09/16</t>
  </si>
  <si>
    <t>09/17</t>
  </si>
  <si>
    <t>09/18</t>
  </si>
  <si>
    <t>09/19</t>
  </si>
  <si>
    <t>09/20</t>
  </si>
  <si>
    <t>📆 WEEK 39 | Sep 21 - Sep 27, 2026</t>
  </si>
  <si>
    <t>09/21</t>
  </si>
  <si>
    <t>09/22</t>
  </si>
  <si>
    <t>09/23</t>
  </si>
  <si>
    <t>09/24</t>
  </si>
  <si>
    <t>09/25</t>
  </si>
  <si>
    <t>09/26</t>
  </si>
  <si>
    <t>09/27</t>
  </si>
  <si>
    <t>📆 WEEK 40 | Sep 28 - Oct 04, 2026</t>
  </si>
  <si>
    <t>09/28</t>
  </si>
  <si>
    <t>09/29</t>
  </si>
  <si>
    <t>09/30</t>
  </si>
  <si>
    <t>10/01</t>
  </si>
  <si>
    <t>10/02</t>
  </si>
  <si>
    <t>10/03</t>
  </si>
  <si>
    <t>10/04</t>
  </si>
  <si>
    <t>📆 WEEK 41 | Oct 05 - Oct 11, 2026</t>
  </si>
  <si>
    <t>10/05</t>
  </si>
  <si>
    <t>10/06</t>
  </si>
  <si>
    <t>10/07</t>
  </si>
  <si>
    <t>10/08</t>
  </si>
  <si>
    <t>10/09</t>
  </si>
  <si>
    <t>10/10</t>
  </si>
  <si>
    <t>10/11</t>
  </si>
  <si>
    <t>📆 WEEK 42 | Oct 12 - Oct 18, 2026</t>
  </si>
  <si>
    <t>10/12</t>
  </si>
  <si>
    <t>10/13</t>
  </si>
  <si>
    <t>10/14</t>
  </si>
  <si>
    <t>10/15</t>
  </si>
  <si>
    <t>10/16</t>
  </si>
  <si>
    <t>10/17</t>
  </si>
  <si>
    <t>10/18</t>
  </si>
  <si>
    <t>📆 WEEK 43 | Oct 19 - Oct 25, 2026</t>
  </si>
  <si>
    <t>10/19</t>
  </si>
  <si>
    <t>10/20</t>
  </si>
  <si>
    <t>10/21</t>
  </si>
  <si>
    <t>10/22</t>
  </si>
  <si>
    <t>10/23</t>
  </si>
  <si>
    <t>10/24</t>
  </si>
  <si>
    <t>10/25</t>
  </si>
  <si>
    <t>📆 WEEK 44 | Oct 26 - Nov 01, 2026</t>
  </si>
  <si>
    <t>10/26</t>
  </si>
  <si>
    <t>10/27</t>
  </si>
  <si>
    <t>10/28</t>
  </si>
  <si>
    <t>10/29</t>
  </si>
  <si>
    <t>10/30</t>
  </si>
  <si>
    <t>10/31</t>
  </si>
  <si>
    <t>11/01</t>
  </si>
  <si>
    <t>📆 WEEK 45 | Nov 02 - Nov 08, 2026</t>
  </si>
  <si>
    <t>11/02</t>
  </si>
  <si>
    <t>11/03</t>
  </si>
  <si>
    <t>11/04</t>
  </si>
  <si>
    <t>11/05</t>
  </si>
  <si>
    <t>11/06</t>
  </si>
  <si>
    <t>11/07</t>
  </si>
  <si>
    <t>11/08</t>
  </si>
  <si>
    <t>📆 WEEK 46 | Nov 09 - Nov 15, 2026</t>
  </si>
  <si>
    <t>11/09</t>
  </si>
  <si>
    <t>11/10</t>
  </si>
  <si>
    <t>11/11</t>
  </si>
  <si>
    <t>11/12</t>
  </si>
  <si>
    <t>11/13</t>
  </si>
  <si>
    <t>11/14</t>
  </si>
  <si>
    <t>11/15</t>
  </si>
  <si>
    <t>📆 WEEK 47 | Nov 16 - Nov 22, 2026</t>
  </si>
  <si>
    <t>11/16</t>
  </si>
  <si>
    <t>11/17</t>
  </si>
  <si>
    <t>11/18</t>
  </si>
  <si>
    <t>11/19</t>
  </si>
  <si>
    <t>11/20</t>
  </si>
  <si>
    <t>11/21</t>
  </si>
  <si>
    <t>11/22</t>
  </si>
  <si>
    <t>📆 WEEK 48 | Nov 23 - Nov 29, 2026</t>
  </si>
  <si>
    <t>11/23</t>
  </si>
  <si>
    <t>11/24</t>
  </si>
  <si>
    <t>11/25</t>
  </si>
  <si>
    <t>11/26</t>
  </si>
  <si>
    <t>11/27</t>
  </si>
  <si>
    <t>11/28</t>
  </si>
  <si>
    <t>11/29</t>
  </si>
  <si>
    <t>📆 WEEK 49 | Nov 30 - Dec 06, 2026</t>
  </si>
  <si>
    <t>11/30</t>
  </si>
  <si>
    <t>12/01</t>
  </si>
  <si>
    <t>12/02</t>
  </si>
  <si>
    <t>12/03</t>
  </si>
  <si>
    <t>12/04</t>
  </si>
  <si>
    <t>12/05</t>
  </si>
  <si>
    <t>12/06</t>
  </si>
  <si>
    <t>📆 WEEK 50 | Dec 07 - Dec 13, 2026</t>
  </si>
  <si>
    <t>12/07</t>
  </si>
  <si>
    <t>12/08</t>
  </si>
  <si>
    <t>12/09</t>
  </si>
  <si>
    <t>12/10</t>
  </si>
  <si>
    <t>12/11</t>
  </si>
  <si>
    <t>12/12</t>
  </si>
  <si>
    <t>12/13</t>
  </si>
  <si>
    <t>📆 WEEK 51 | Dec 14 - Dec 20, 2026</t>
  </si>
  <si>
    <t>12/14</t>
  </si>
  <si>
    <t>12/15</t>
  </si>
  <si>
    <t>12/16</t>
  </si>
  <si>
    <t>12/17</t>
  </si>
  <si>
    <t>12/18</t>
  </si>
  <si>
    <t>12/19</t>
  </si>
  <si>
    <t>12/20</t>
  </si>
  <si>
    <t>📆 WEEK 52 | Dec 21 - Dec 27, 2026</t>
  </si>
  <si>
    <t>12/21</t>
  </si>
  <si>
    <t>12/22</t>
  </si>
  <si>
    <t>12/23</t>
  </si>
  <si>
    <t>12/24</t>
  </si>
  <si>
    <t>12/25</t>
  </si>
  <si>
    <t>12/26</t>
  </si>
  <si>
    <t>12/27</t>
  </si>
  <si>
    <t>📆 WEEK 53 | Dec 28 - Jan 03, 2027</t>
  </si>
  <si>
    <t>12/28</t>
  </si>
  <si>
    <t>12/29</t>
  </si>
  <si>
    <t>12/30</t>
  </si>
  <si>
    <t>12/31</t>
  </si>
  <si>
    <t>01/01</t>
  </si>
  <si>
    <t>01/02</t>
  </si>
  <si>
    <t>📊 MONTHLY SUMMARY (Auto-calculated from weekly data)</t>
  </si>
  <si>
    <t>Month</t>
  </si>
  <si>
    <t>Weeks</t>
  </si>
  <si>
    <t>Dials/Lead</t>
  </si>
  <si>
    <t>January</t>
  </si>
  <si>
    <t>1-4</t>
  </si>
  <si>
    <t>February</t>
  </si>
  <si>
    <t>5-8</t>
  </si>
  <si>
    <t>March</t>
  </si>
  <si>
    <t>9-13</t>
  </si>
  <si>
    <t>April</t>
  </si>
  <si>
    <t>14-17</t>
  </si>
  <si>
    <t>18-21</t>
  </si>
  <si>
    <t>June</t>
  </si>
  <si>
    <t>22-26</t>
  </si>
  <si>
    <t>July</t>
  </si>
  <si>
    <t>27-30</t>
  </si>
  <si>
    <t>August</t>
  </si>
  <si>
    <t>31-35</t>
  </si>
  <si>
    <t>September</t>
  </si>
  <si>
    <t>36-39</t>
  </si>
  <si>
    <t>October</t>
  </si>
  <si>
    <t>40-43</t>
  </si>
  <si>
    <t>November</t>
  </si>
  <si>
    <t>44-48</t>
  </si>
  <si>
    <t>December</t>
  </si>
  <si>
    <t>49-53</t>
  </si>
  <si>
    <t>🎯 YEAR-TO-DATE TOTALS</t>
  </si>
  <si>
    <t>YTD Total</t>
  </si>
  <si>
    <t>Weekly Avg</t>
  </si>
  <si>
    <t>Daily Avg</t>
  </si>
  <si>
    <t>Total Hours</t>
  </si>
  <si>
    <t>Appointments Set</t>
  </si>
  <si>
    <t>KEY RATIOS</t>
  </si>
  <si>
    <t>Contact Rate</t>
  </si>
  <si>
    <t>📋 2026 DAILY ACTIVITY TRACKER - Lead Manager</t>
  </si>
  <si>
    <t>Track daily lead management activity. Enter data in YELLOW cells. Weekly totals calculate automatically.</t>
  </si>
  <si>
    <t>LM Name</t>
  </si>
  <si>
    <t>Total Attempts</t>
  </si>
  <si>
    <t>Follow-ups Done</t>
  </si>
  <si>
    <t>Appts Set</t>
  </si>
  <si>
    <t>Push-backs Rcvd</t>
  </si>
  <si>
    <t>Jordan</t>
  </si>
  <si>
    <t>Attempts</t>
  </si>
  <si>
    <t>New Called</t>
  </si>
  <si>
    <t>Follow-ups</t>
  </si>
  <si>
    <t>Qualified</t>
  </si>
  <si>
    <t>Push-backs</t>
  </si>
  <si>
    <t>💼 TRANSACTION TRACKER</t>
  </si>
  <si>
    <t>📋 Track every deal from contract to close. Enter data in YELLOW cells. Pipeline summary auto-calculates.</t>
  </si>
  <si>
    <t>Property Address</t>
  </si>
  <si>
    <t>Lead Source</t>
  </si>
  <si>
    <t>Contract Date</t>
  </si>
  <si>
    <t>Contract Price</t>
  </si>
  <si>
    <t>ARV</t>
  </si>
  <si>
    <t>Repair Est.</t>
  </si>
  <si>
    <t>Assignment Fee</t>
  </si>
  <si>
    <t>Buyer</t>
  </si>
  <si>
    <t>Close Date</t>
  </si>
  <si>
    <t>123 Main St</t>
  </si>
  <si>
    <t>FTM Niche</t>
  </si>
  <si>
    <t>2026-01-15</t>
  </si>
  <si>
    <t>ABC Investments</t>
  </si>
  <si>
    <t>2026-02-28</t>
  </si>
  <si>
    <t>Closed</t>
  </si>
  <si>
    <t>First deal of year</t>
  </si>
  <si>
    <t>456 Oak Ave</t>
  </si>
  <si>
    <t>Direct Mail</t>
  </si>
  <si>
    <t>2026-01-22</t>
  </si>
  <si>
    <t>XYZ Holdings</t>
  </si>
  <si>
    <t>2026-03-15</t>
  </si>
  <si>
    <t>Probate lead</t>
  </si>
  <si>
    <t>789 Pine Rd</t>
  </si>
  <si>
    <t>2026-02-10</t>
  </si>
  <si>
    <t>Flip Masters LLC</t>
  </si>
  <si>
    <t>2026-03-25</t>
  </si>
  <si>
    <t>Under Contract</t>
  </si>
  <si>
    <t>Closing next week</t>
  </si>
  <si>
    <t>321 Elm St</t>
  </si>
  <si>
    <t>Bulk Sequential</t>
  </si>
  <si>
    <t>2026-02-18</t>
  </si>
  <si>
    <t>Quick Cash Buyers</t>
  </si>
  <si>
    <t>In Negotiation</t>
  </si>
  <si>
    <t>Waiting on title</t>
  </si>
  <si>
    <t>1024 Cedar Ln</t>
  </si>
  <si>
    <t>2026-03-05</t>
  </si>
  <si>
    <t>Summit Capital</t>
  </si>
  <si>
    <t>2026-04-10</t>
  </si>
  <si>
    <t>Probate deal</t>
  </si>
  <si>
    <t>555 Maple Dr</t>
  </si>
  <si>
    <t>2026-03-18</t>
  </si>
  <si>
    <t>TN Flippers LLC</t>
  </si>
  <si>
    <t>2026-04-22</t>
  </si>
  <si>
    <t>Stacked list</t>
  </si>
  <si>
    <t>812 Walnut St</t>
  </si>
  <si>
    <t>Deep Prospecting</t>
  </si>
  <si>
    <t>2026-05-02</t>
  </si>
  <si>
    <t>2026-06-15</t>
  </si>
  <si>
    <t>Heir property</t>
  </si>
  <si>
    <t>2200 Birch Ave</t>
  </si>
  <si>
    <t>2026-06-10</t>
  </si>
  <si>
    <t>2026-07-20</t>
  </si>
  <si>
    <t>Tax delinquent</t>
  </si>
  <si>
    <t>740 Spruce Ct</t>
  </si>
  <si>
    <t>2026-06-22</t>
  </si>
  <si>
    <t>2026-08-01</t>
  </si>
  <si>
    <t>High equity absentee</t>
  </si>
  <si>
    <t>1515 Dogwood Pkwy</t>
  </si>
  <si>
    <t>2026-07-08</t>
  </si>
  <si>
    <t>Pinnacle Buyers</t>
  </si>
  <si>
    <t>2026-08-15</t>
  </si>
  <si>
    <t>Probate mailer response</t>
  </si>
  <si>
    <t>309 Hickory Rd</t>
  </si>
  <si>
    <t>2026-08-14</t>
  </si>
  <si>
    <t>2026-09-20</t>
  </si>
  <si>
    <t>Eviction list</t>
  </si>
  <si>
    <t>4420 Ash Blvd</t>
  </si>
  <si>
    <t>2026-08-28</t>
  </si>
  <si>
    <t>2026-10-05</t>
  </si>
  <si>
    <t>Inherited property</t>
  </si>
  <si>
    <t>667 Poplar Way</t>
  </si>
  <si>
    <t>Referral</t>
  </si>
  <si>
    <t>2026-09-12</t>
  </si>
  <si>
    <t>2026-10-15</t>
  </si>
  <si>
    <t>Agent referral</t>
  </si>
  <si>
    <t>1888 Sycamore Ave</t>
  </si>
  <si>
    <t>2026-09-25</t>
  </si>
  <si>
    <t>2026-10-30</t>
  </si>
  <si>
    <t>Tired landlord</t>
  </si>
  <si>
    <t>225 Magnolia St</t>
  </si>
  <si>
    <t>2026-10-10</t>
  </si>
  <si>
    <t>Code violation</t>
  </si>
  <si>
    <t>3100 Chestnut Dr</t>
  </si>
  <si>
    <t>2026-12-05</t>
  </si>
  <si>
    <t>2026-12-28</t>
  </si>
  <si>
    <t>📊 PIPELINE SUMMARY (Auto-calculated)</t>
  </si>
  <si>
    <t>Count</t>
  </si>
  <si>
    <t>Total Value</t>
  </si>
  <si>
    <t>Avg Deal Size</t>
  </si>
  <si>
    <t>Dead</t>
  </si>
  <si>
    <t>TOTAL PIPELINE</t>
  </si>
  <si>
    <t>📈 DEALS BY LEAD SOURCE</t>
  </si>
  <si>
    <t>Deals</t>
  </si>
  <si>
    <t>Revenue</t>
  </si>
  <si>
    <t>Avg Revenue</t>
  </si>
  <si>
    <t>AI/Predictive</t>
  </si>
  <si>
    <t>PPC/Website</t>
  </si>
  <si>
    <t>Other</t>
  </si>
  <si>
    <t>💸 EXPENSE TRACKER</t>
  </si>
  <si>
    <t>📋 Track all business expenses. Enter monthly costs in YELLOW cells. Totals auto-calculate.</t>
  </si>
  <si>
    <t>👥 TEAM EXPENSES</t>
  </si>
  <si>
    <t>Role/Item</t>
  </si>
  <si>
    <t>Monthly Cost</t>
  </si>
  <si>
    <t>Annual Cost</t>
  </si>
  <si>
    <t>Cold Caller Name</t>
  </si>
  <si>
    <t>Overseas VA</t>
  </si>
  <si>
    <t>Data Manager</t>
  </si>
  <si>
    <t>Part-time</t>
  </si>
  <si>
    <t>Lead Manager</t>
  </si>
  <si>
    <t>Overseas VA, full-time</t>
  </si>
  <si>
    <t>Acquisitions Manager</t>
  </si>
  <si>
    <t>Commission-based</t>
  </si>
  <si>
    <t>Dispo Manager</t>
  </si>
  <si>
    <t>If applicable</t>
  </si>
  <si>
    <t>Team Subtotal</t>
  </si>
  <si>
    <t>💻 SOFTWARE &amp; TOOLS</t>
  </si>
  <si>
    <t>DataSift</t>
  </si>
  <si>
    <t>CRM + Data</t>
  </si>
  <si>
    <t>Dialer (Smrt Phone)</t>
  </si>
  <si>
    <t>Skip Tracing (BeenVerified)</t>
  </si>
  <si>
    <t>Slack</t>
  </si>
  <si>
    <t>Team communication</t>
  </si>
  <si>
    <t>Website Hosting</t>
  </si>
  <si>
    <t>Email Service</t>
  </si>
  <si>
    <t>Manus AI</t>
  </si>
  <si>
    <t>Other Software</t>
  </si>
  <si>
    <t>Software Subtotal</t>
  </si>
  <si>
    <t>📣 MARKETING EXPENSES</t>
  </si>
  <si>
    <t>First-to-market postcards</t>
  </si>
  <si>
    <t>SMS/Text Blasts</t>
  </si>
  <si>
    <t>Smarter Contact</t>
  </si>
  <si>
    <t>Data/List Costs</t>
  </si>
  <si>
    <t>Skip tracing, lists</t>
  </si>
  <si>
    <t>PPC/Google Ads</t>
  </si>
  <si>
    <t>Facebook Ads</t>
  </si>
  <si>
    <t>Other Marketing</t>
  </si>
  <si>
    <t>Marketing Subtotal</t>
  </si>
  <si>
    <t>💰 TOTAL EXPENSES</t>
  </si>
  <si>
    <t>GRAND TOTAL</t>
  </si>
  <si>
    <t>📬 SEQUENTIAL MARKETING TRACKER</t>
  </si>
  <si>
    <t>📋 Track both First-to-Market (FTM) Niche Sequential and Bulk Sequential marketing. Purple = FTM, Orange = Bulk. Yellow = Input.</t>
  </si>
  <si>
    <t>⚙️ GLOBAL SETTINGS</t>
  </si>
  <si>
    <t>Value</t>
  </si>
  <si>
    <t>Cost per Postcard</t>
  </si>
  <si>
    <t>REI Sift mail cost</t>
  </si>
  <si>
    <t>Cost per SMS</t>
  </si>
  <si>
    <t>Smarter Contact avg</t>
  </si>
  <si>
    <t>Cost per Cold Call Touch</t>
  </si>
  <si>
    <t>VA cost per dial</t>
  </si>
  <si>
    <t>Target Response Rate (Mail)</t>
  </si>
  <si>
    <t>Industry avg: 0.5%</t>
  </si>
  <si>
    <t>Response to Lead Rate</t>
  </si>
  <si>
    <t>% responses → leads</t>
  </si>
  <si>
    <t>Leads to get 1 contract</t>
  </si>
  <si>
    <t>Avg Deal Profit</t>
  </si>
  <si>
    <t>Your avg profit/deal</t>
  </si>
  <si>
    <t>🎯 FIRST-TO-MARKET (FTM) NICHE SEQUENTIAL</t>
  </si>
  <si>
    <t>Small volume, high-touch marketing to distress lists (Probate, Eviction, Foreclosure, Tax Delinquent, Code Violation). Send mail immediately when records are pulled, then rehash monthly.</t>
  </si>
  <si>
    <t>📊 FTM RECORDS PROJECTOR (Enter your avg monthly records per niche)</t>
  </si>
  <si>
    <t>Niche List</t>
  </si>
  <si>
    <t>Avg Monthly</t>
  </si>
  <si>
    <t>Mail Cost/Mo</t>
  </si>
  <si>
    <t>Annual Records</t>
  </si>
  <si>
    <t>Annual Mail Cost</t>
  </si>
  <si>
    <t>12-Mo Rehash Total</t>
  </si>
  <si>
    <t>Rehash Annual Cost</t>
  </si>
  <si>
    <t>Probate</t>
  </si>
  <si>
    <t>Eviction</t>
  </si>
  <si>
    <t>Foreclosure</t>
  </si>
  <si>
    <t>Tax Delinquent</t>
  </si>
  <si>
    <t>Code Violation</t>
  </si>
  <si>
    <t>FTM TOTAL</t>
  </si>
  <si>
    <t>📮 FTM MAIL CAMPAIGN TRACKER</t>
  </si>
  <si>
    <t>Niche</t>
  </si>
  <si>
    <t># Mailed</t>
  </si>
  <si>
    <t>Cost</t>
  </si>
  <si>
    <t>Responses</t>
  </si>
  <si>
    <t>2026-02-01</t>
  </si>
  <si>
    <t>2026-02-15</t>
  </si>
  <si>
    <t>2026-03-01</t>
  </si>
  <si>
    <t>2026-04-01</t>
  </si>
  <si>
    <t>2026-04-15</t>
  </si>
  <si>
    <t>📦 BULK SEQUENTIAL MARKETING</t>
  </si>
  <si>
    <t>High volume, multi-channel marketing to stacked lists (High Equity + Absentee + Out-of-State). Use SMS → Cold Call → Mail → Deep Prospect sequence.</t>
  </si>
  <si>
    <t>📊 BULK LIST PROJECTOR (Enter your stacked list sizes)</t>
  </si>
  <si>
    <t>List/Stack</t>
  </si>
  <si>
    <t>Total Records</t>
  </si>
  <si>
    <t>SMS Cost</t>
  </si>
  <si>
    <t>Call Cost</t>
  </si>
  <si>
    <t>Mail Cost</t>
  </si>
  <si>
    <t>Total Cost</t>
  </si>
  <si>
    <t>Est. Leads</t>
  </si>
  <si>
    <t>Cost/Lead</t>
  </si>
  <si>
    <t xml:space="preserve">Colonial Village stacked </t>
  </si>
  <si>
    <t>Out of State Owners</t>
  </si>
  <si>
    <t>Tired Landlords</t>
  </si>
  <si>
    <t>Pre-Foreclosure Stack</t>
  </si>
  <si>
    <t>Custom Stack</t>
  </si>
  <si>
    <t>BULK TOTAL</t>
  </si>
  <si>
    <t>📮 BULK CAMPAIGN TRACKER</t>
  </si>
  <si>
    <t>List Name</t>
  </si>
  <si>
    <t>Channel</t>
  </si>
  <si>
    <t># Sent</t>
  </si>
  <si>
    <t>2026-01-10</t>
  </si>
  <si>
    <t>High Equity</t>
  </si>
  <si>
    <t>SMS</t>
  </si>
  <si>
    <t>Cold Call</t>
  </si>
  <si>
    <t>2026-01-20</t>
  </si>
  <si>
    <t>Mail</t>
  </si>
  <si>
    <t>Out of State</t>
  </si>
  <si>
    <t>2026-03-10</t>
  </si>
  <si>
    <t>📊 COMBINED MARKETING SUMMARY</t>
  </si>
  <si>
    <t>Bulk</t>
  </si>
  <si>
    <t>Total</t>
  </si>
  <si>
    <t>Total Mail Sent</t>
  </si>
  <si>
    <t>Total SMS Sent</t>
  </si>
  <si>
    <t>0</t>
  </si>
  <si>
    <t>Total Cold Calls</t>
  </si>
  <si>
    <t>Total Marketing Cost</t>
  </si>
  <si>
    <t>Total Responses</t>
  </si>
  <si>
    <t>Total Leads</t>
  </si>
  <si>
    <t>Total Contracts</t>
  </si>
  <si>
    <t>Total Revenue</t>
  </si>
  <si>
    <t>📊 WEEKLY / MONTHLY REVIEW DASHBOARD</t>
  </si>
  <si>
    <t>📋 Use this dashboard for weekly team meetings and monthly reviews. Enter weekly totals by role. Color coding: Blue = Data Manager, Green = Lead Manager, Gold = Acquisitions.</t>
  </si>
  <si>
    <t>📅 REVIEW PERIOD</t>
  </si>
  <si>
    <t>🔄 MONTHLY FUNNEL SUMMARY</t>
  </si>
  <si>
    <t>Week Of:</t>
  </si>
  <si>
    <t>2026-01-05</t>
  </si>
  <si>
    <t>Month:</t>
  </si>
  <si>
    <t>Stage</t>
  </si>
  <si>
    <t>Conv. Rate</t>
  </si>
  <si>
    <t>100%</t>
  </si>
  <si>
    <t>📁 DATA MANAGER KPIs</t>
  </si>
  <si>
    <t>Week 1</t>
  </si>
  <si>
    <t>Week 2</t>
  </si>
  <si>
    <t>Week 3</t>
  </si>
  <si>
    <t>Week 4</t>
  </si>
  <si>
    <t>MTD Total</t>
  </si>
  <si>
    <t>Records Pulled</t>
  </si>
  <si>
    <t>Qualified Leads</t>
  </si>
  <si>
    <t>Records Uploaded</t>
  </si>
  <si>
    <t>Appointments</t>
  </si>
  <si>
    <t>Records Enriched</t>
  </si>
  <si>
    <t>Skip Trace Hit Rate</t>
  </si>
  <si>
    <t>Incomplete Resolved</t>
  </si>
  <si>
    <t>Deep Prospects Done</t>
  </si>
  <si>
    <t>📈 KEY RATIOS</t>
  </si>
  <si>
    <t>📞 LEAD MANAGER KPIs</t>
  </si>
  <si>
    <t>Cost per Contract</t>
  </si>
  <si>
    <t>Follow-ups Completed</t>
  </si>
  <si>
    <t>Tasks Completed</t>
  </si>
  <si>
    <t>Overdue Tasks</t>
  </si>
  <si>
    <t>Leads → Acquisitions</t>
  </si>
  <si>
    <t>Ghosting Leads Recovered</t>
  </si>
  <si>
    <t>📝 ACTION ITEMS / NOTES</t>
  </si>
  <si>
    <t>🏠 ACQUISITIONS KPIs</t>
  </si>
  <si>
    <t>Appointments Completed</t>
  </si>
  <si>
    <t>Offers Accepted</t>
  </si>
  <si>
    <t>Deals Closed</t>
  </si>
  <si>
    <t>Revenue 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</si>
</sst>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"/>
    <numFmt numFmtId="165" formatCode="0.0%"/>
    <numFmt numFmtId="166" formatCode="0.00&quot;x&quot;"/>
    <numFmt numFmtId="167" formatCode="m/d"/>
    <numFmt numFmtId="168" formatCode="mm/dd"/>
  </numFmts>
  <fonts count="23">
    <font>
      <sz val="11.0"/>
      <color theme="1"/>
      <name val="Calibri"/>
      <scheme val="minor"/>
    </font>
    <font>
      <b/>
      <sz val="20.0"/>
      <color rgb="FFFFFFFF"/>
      <name val="Calibri"/>
    </font>
    <font/>
    <font>
      <i/>
      <sz val="12.0"/>
      <color rgb="FF2E75B6"/>
      <name val="Calibri"/>
    </font>
    <font>
      <b/>
      <sz val="11.0"/>
      <color rgb="FF1F4E79"/>
      <name val="Calibri"/>
    </font>
    <font>
      <sz val="14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1.0"/>
      <color rgb="FF2E75B6"/>
      <name val="Calibri"/>
    </font>
    <font>
      <i/>
      <sz val="9.0"/>
      <color rgb="FF666666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sz val="9.0"/>
      <color theme="1"/>
      <name val="Calibri"/>
    </font>
    <font>
      <b/>
      <sz val="14.0"/>
      <color rgb="FFFFFFFF"/>
      <name val="Calibri"/>
    </font>
    <font>
      <b/>
      <sz val="10.0"/>
      <color rgb="FF1F4E79"/>
      <name val="Calibri"/>
    </font>
    <font>
      <b/>
      <color theme="1"/>
      <name val="Calibri"/>
    </font>
    <font>
      <b/>
      <sz val="12.0"/>
      <color theme="1"/>
      <name val="Calibri"/>
    </font>
    <font>
      <b/>
      <sz val="10.0"/>
      <color rgb="FF7030A0"/>
      <name val="Calibri"/>
    </font>
    <font>
      <b/>
      <sz val="10.0"/>
      <color rgb="FFC65911"/>
      <name val="Calibri"/>
    </font>
    <font>
      <b/>
      <sz val="12.0"/>
      <color rgb="FF1F4E79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E0E0E0"/>
        <bgColor rgb="FFE0E0E0"/>
      </patternFill>
    </fill>
    <fill>
      <patternFill patternType="solid">
        <fgColor rgb="FFE4DFEC"/>
        <bgColor rgb="FFE4DFEC"/>
      </patternFill>
    </fill>
    <fill>
      <patternFill patternType="solid">
        <fgColor rgb="FFFCE4D6"/>
        <bgColor rgb="FFFCE4D6"/>
      </patternFill>
    </fill>
    <fill>
      <patternFill patternType="solid">
        <fgColor rgb="FFCFE2F3"/>
        <bgColor rgb="FFCFE2F3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FFD966"/>
      </left>
      <right style="medium">
        <color rgb="FFFFD966"/>
      </right>
      <top style="medium">
        <color rgb="FFFFD966"/>
      </top>
      <bottom style="medium">
        <color rgb="FFFFD9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medium">
        <color rgb="FF1F4E7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medium">
        <color rgb="FF1F4E79"/>
      </right>
      <top style="medium">
        <color rgb="FF1F4E79"/>
      </top>
      <bottom style="medium">
        <color rgb="FF1F4E79"/>
      </bottom>
    </border>
    <border>
      <left style="medium">
        <color rgb="FFFFD966"/>
      </left>
      <top style="medium">
        <color rgb="FFFFD966"/>
      </top>
      <bottom style="medium">
        <color rgb="FFFFD966"/>
      </bottom>
    </border>
    <border>
      <top style="medium">
        <color rgb="FFFFD966"/>
      </top>
      <bottom style="medium">
        <color rgb="FFFFD966"/>
      </bottom>
    </border>
    <border>
      <right style="medium">
        <color rgb="FFFFD966"/>
      </right>
      <top style="medium">
        <color rgb="FFFFD966"/>
      </top>
      <bottom style="medium">
        <color rgb="FFFFD966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1" fillId="3" fontId="4" numFmtId="0" xfId="0" applyBorder="1" applyFont="1"/>
    <xf borderId="4" fillId="4" fontId="8" numFmtId="0" xfId="0" applyBorder="1" applyFill="1" applyFont="1"/>
    <xf borderId="4" fillId="5" fontId="8" numFmtId="0" xfId="0" applyBorder="1" applyFill="1" applyFont="1"/>
    <xf borderId="4" fillId="6" fontId="8" numFmtId="0" xfId="0" applyBorder="1" applyFill="1" applyFont="1"/>
    <xf borderId="4" fillId="7" fontId="8" numFmtId="0" xfId="0" applyBorder="1" applyFill="1" applyFont="1"/>
    <xf borderId="4" fillId="8" fontId="8" numFmtId="0" xfId="0" applyBorder="1" applyFill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5" fillId="9" fontId="10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1" fillId="10" fontId="12" numFmtId="0" xfId="0" applyAlignment="1" applyBorder="1" applyFill="1" applyFont="1">
      <alignment horizontal="center" shrinkToFit="0" vertical="center" wrapText="1"/>
    </xf>
    <xf borderId="4" fillId="3" fontId="6" numFmtId="0" xfId="0" applyBorder="1" applyFont="1"/>
    <xf borderId="4" fillId="0" fontId="6" numFmtId="0" xfId="0" applyBorder="1" applyFont="1"/>
    <xf borderId="8" fillId="4" fontId="4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Border="1" applyFont="1"/>
    <xf borderId="4" fillId="0" fontId="10" numFmtId="0" xfId="0" applyBorder="1" applyFont="1"/>
    <xf borderId="8" fillId="4" fontId="4" numFmtId="164" xfId="0" applyAlignment="1" applyBorder="1" applyFont="1" applyNumberFormat="1">
      <alignment horizontal="center" shrinkToFit="0" vertical="center" wrapText="1"/>
    </xf>
    <xf borderId="8" fillId="4" fontId="4" numFmtId="165" xfId="0" applyAlignment="1" applyBorder="1" applyFont="1" applyNumberFormat="1">
      <alignment horizontal="center" readingOrder="0" shrinkToFit="0" vertical="center" wrapText="1"/>
    </xf>
    <xf borderId="8" fillId="4" fontId="4" numFmtId="2" xfId="0" applyAlignment="1" applyBorder="1" applyFont="1" applyNumberFormat="1">
      <alignment horizontal="center" shrinkToFit="0" vertical="center" wrapText="1"/>
    </xf>
    <xf borderId="0" fillId="0" fontId="8" numFmtId="0" xfId="0" applyFont="1"/>
    <xf borderId="8" fillId="4" fontId="4" numFmtId="2" xfId="0" applyAlignment="1" applyBorder="1" applyFont="1" applyNumberFormat="1">
      <alignment horizontal="center" readingOrder="0" shrinkToFit="0" vertical="center" wrapText="1"/>
    </xf>
    <xf borderId="4" fillId="5" fontId="7" numFmtId="3" xfId="0" applyAlignment="1" applyBorder="1" applyFont="1" applyNumberFormat="1">
      <alignment horizontal="center" shrinkToFit="0" vertical="center" wrapText="1"/>
    </xf>
    <xf borderId="4" fillId="5" fontId="7" numFmtId="2" xfId="0" applyAlignment="1" applyBorder="1" applyFont="1" applyNumberFormat="1">
      <alignment horizontal="center" shrinkToFit="0" vertical="center" wrapText="1"/>
    </xf>
    <xf borderId="9" fillId="11" fontId="4" numFmtId="0" xfId="0" applyAlignment="1" applyBorder="1" applyFill="1" applyFont="1">
      <alignment horizontal="left" vertical="center"/>
    </xf>
    <xf borderId="9" fillId="11" fontId="8" numFmtId="0" xfId="0" applyBorder="1" applyFont="1"/>
    <xf borderId="10" fillId="9" fontId="7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10" fontId="13" numFmtId="0" xfId="0" applyAlignment="1" applyBorder="1" applyFont="1">
      <alignment horizontal="center" vertical="center"/>
    </xf>
    <xf borderId="9" fillId="12" fontId="7" numFmtId="0" xfId="0" applyAlignment="1" applyBorder="1" applyFill="1" applyFont="1">
      <alignment horizontal="left" vertical="center"/>
    </xf>
    <xf borderId="9" fillId="4" fontId="7" numFmtId="0" xfId="0" applyAlignment="1" applyBorder="1" applyFont="1">
      <alignment horizontal="center" vertical="center"/>
    </xf>
    <xf borderId="9" fillId="9" fontId="7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left" vertical="center"/>
    </xf>
    <xf borderId="4" fillId="10" fontId="1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8" fillId="4" fontId="4" numFmtId="3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4" fillId="5" fontId="7" numFmtId="164" xfId="0" applyAlignment="1" applyBorder="1" applyFont="1" applyNumberFormat="1">
      <alignment horizontal="center" shrinkToFit="0" vertical="center" wrapText="1"/>
    </xf>
    <xf borderId="13" fillId="4" fontId="8" numFmtId="3" xfId="0" applyBorder="1" applyFont="1" applyNumberFormat="1"/>
    <xf borderId="0" fillId="0" fontId="11" numFmtId="3" xfId="0" applyFont="1" applyNumberFormat="1"/>
    <xf borderId="13" fillId="5" fontId="6" numFmtId="3" xfId="0" applyBorder="1" applyFont="1" applyNumberFormat="1"/>
    <xf borderId="4" fillId="5" fontId="7" numFmtId="165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2" xfId="0" applyAlignment="1" applyBorder="1" applyFont="1" applyNumberForma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5" fontId="7" numFmtId="166" xfId="0" applyAlignment="1" applyBorder="1" applyFont="1" applyNumberFormat="1">
      <alignment horizontal="center" shrinkToFit="0" vertical="center" wrapText="1"/>
    </xf>
    <xf borderId="9" fillId="3" fontId="4" numFmtId="0" xfId="0" applyAlignment="1" applyBorder="1" applyFont="1">
      <alignment horizontal="left" vertical="center"/>
    </xf>
    <xf borderId="9" fillId="3" fontId="8" numFmtId="0" xfId="0" applyBorder="1" applyFont="1"/>
    <xf borderId="0" fillId="0" fontId="8" numFmtId="164" xfId="0" applyFont="1" applyNumberFormat="1"/>
    <xf borderId="0" fillId="0" fontId="6" numFmtId="164" xfId="0" applyFont="1" applyNumberFormat="1"/>
    <xf borderId="9" fillId="12" fontId="6" numFmtId="0" xfId="0" applyAlignment="1" applyBorder="1" applyFont="1">
      <alignment horizontal="left" vertical="center"/>
    </xf>
    <xf borderId="0" fillId="0" fontId="8" numFmtId="165" xfId="0" applyFont="1" applyNumberFormat="1"/>
    <xf borderId="1" fillId="2" fontId="1" numFmtId="0" xfId="0" applyAlignment="1" applyBorder="1" applyFont="1">
      <alignment horizontal="center" vertical="center"/>
    </xf>
    <xf borderId="14" fillId="13" fontId="4" numFmtId="0" xfId="0" applyAlignment="1" applyBorder="1" applyFill="1" applyFont="1">
      <alignment horizontal="left" vertical="center"/>
    </xf>
    <xf borderId="15" fillId="0" fontId="2" numFmtId="0" xfId="0" applyBorder="1" applyFont="1"/>
    <xf borderId="16" fillId="0" fontId="2" numFmtId="0" xfId="0" applyBorder="1" applyFont="1"/>
    <xf borderId="4" fillId="10" fontId="14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0" fontId="15" numFmtId="167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horizontal="center" vertical="center"/>
    </xf>
    <xf borderId="8" fillId="4" fontId="8" numFmtId="3" xfId="0" applyAlignment="1" applyBorder="1" applyFont="1" applyNumberFormat="1">
      <alignment horizontal="center" vertical="center"/>
    </xf>
    <xf borderId="4" fillId="0" fontId="15" numFmtId="168" xfId="0" applyAlignment="1" applyBorder="1" applyFont="1" applyNumberFormat="1">
      <alignment horizontal="center" vertical="center"/>
    </xf>
    <xf borderId="4" fillId="14" fontId="15" numFmtId="0" xfId="0" applyAlignment="1" applyBorder="1" applyFill="1" applyFont="1">
      <alignment horizontal="center" vertical="center"/>
    </xf>
    <xf borderId="4" fillId="14" fontId="8" numFmtId="0" xfId="0" applyAlignment="1" applyBorder="1" applyFont="1">
      <alignment horizontal="center" vertical="center"/>
    </xf>
    <xf borderId="4" fillId="14" fontId="8" numFmtId="3" xfId="0" applyAlignment="1" applyBorder="1" applyFont="1" applyNumberFormat="1">
      <alignment horizontal="center" vertical="center"/>
    </xf>
    <xf borderId="4" fillId="5" fontId="6" numFmtId="0" xfId="0" applyBorder="1" applyFont="1"/>
    <xf borderId="4" fillId="5" fontId="6" numFmtId="3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5" fontId="8" numFmtId="3" xfId="0" applyAlignment="1" applyBorder="1" applyFont="1" applyNumberFormat="1">
      <alignment horizontal="center" vertical="center"/>
    </xf>
    <xf borderId="4" fillId="5" fontId="8" numFmtId="2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5" fontId="8" numFmtId="165" xfId="0" applyAlignment="1" applyBorder="1" applyFont="1" applyNumberFormat="1">
      <alignment horizontal="center" vertical="center"/>
    </xf>
    <xf borderId="4" fillId="5" fontId="8" numFmtId="2" xfId="0" applyBorder="1" applyFont="1" applyNumberFormat="1"/>
    <xf borderId="4" fillId="5" fontId="8" numFmtId="165" xfId="0" applyBorder="1" applyFont="1" applyNumberFormat="1"/>
    <xf borderId="10" fillId="2" fontId="16" numFmtId="0" xfId="0" applyAlignment="1" applyBorder="1" applyFont="1">
      <alignment horizontal="center" vertical="center"/>
    </xf>
    <xf borderId="10" fillId="11" fontId="4" numFmtId="0" xfId="0" applyAlignment="1" applyBorder="1" applyFont="1">
      <alignment horizontal="left" vertical="center"/>
    </xf>
    <xf borderId="9" fillId="4" fontId="7" numFmtId="0" xfId="0" applyAlignment="1" applyBorder="1" applyFont="1">
      <alignment horizontal="left" vertical="center"/>
    </xf>
    <xf borderId="9" fillId="14" fontId="7" numFmtId="0" xfId="0" applyAlignment="1" applyBorder="1" applyFont="1">
      <alignment horizontal="center" vertical="center"/>
    </xf>
    <xf borderId="9" fillId="14" fontId="8" numFmtId="0" xfId="0" applyBorder="1" applyFont="1"/>
    <xf borderId="9" fillId="5" fontId="17" numFmtId="0" xfId="0" applyAlignment="1" applyBorder="1" applyFont="1">
      <alignment horizontal="left" vertical="center"/>
    </xf>
    <xf borderId="9" fillId="5" fontId="17" numFmtId="0" xfId="0" applyAlignment="1" applyBorder="1" applyFont="1">
      <alignment horizontal="center" vertical="center"/>
    </xf>
    <xf borderId="9" fillId="4" fontId="8" numFmtId="0" xfId="0" applyBorder="1" applyFont="1"/>
    <xf borderId="10" fillId="3" fontId="4" numFmtId="0" xfId="0" applyAlignment="1" applyBorder="1" applyFont="1">
      <alignment horizontal="left" vertical="center"/>
    </xf>
    <xf borderId="9" fillId="12" fontId="7" numFmtId="0" xfId="0" applyAlignment="1" applyBorder="1" applyFont="1">
      <alignment horizontal="center" vertical="center"/>
    </xf>
    <xf borderId="9" fillId="5" fontId="8" numFmtId="0" xfId="0" applyBorder="1" applyFont="1"/>
    <xf borderId="8" fillId="4" fontId="8" numFmtId="164" xfId="0" applyAlignment="1" applyBorder="1" applyFont="1" applyNumberFormat="1">
      <alignment horizontal="center" vertical="center"/>
    </xf>
    <xf borderId="8" fillId="4" fontId="8" numFmtId="0" xfId="0" applyBorder="1" applyFont="1"/>
    <xf borderId="4" fillId="5" fontId="8" numFmtId="0" xfId="0" applyAlignment="1" applyBorder="1" applyFont="1">
      <alignment horizontal="center" vertical="center"/>
    </xf>
    <xf borderId="4" fillId="5" fontId="8" numFmtId="164" xfId="0" applyAlignment="1" applyBorder="1" applyFont="1" applyNumberFormat="1">
      <alignment horizontal="center" vertical="center"/>
    </xf>
    <xf borderId="4" fillId="6" fontId="6" numFmtId="0" xfId="0" applyBorder="1" applyFont="1"/>
    <xf borderId="4" fillId="6" fontId="6" numFmtId="0" xfId="0" applyAlignment="1" applyBorder="1" applyFon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0" fillId="4" fontId="8" numFmtId="164" xfId="0" applyAlignment="1" applyFont="1" applyNumberFormat="1">
      <alignment horizontal="center" vertical="center"/>
    </xf>
    <xf borderId="4" fillId="5" fontId="6" numFmtId="164" xfId="0" applyBorder="1" applyFont="1" applyNumberFormat="1"/>
    <xf borderId="4" fillId="0" fontId="18" numFmtId="0" xfId="0" applyAlignment="1" applyBorder="1" applyFont="1">
      <alignment vertical="bottom"/>
    </xf>
    <xf borderId="8" fillId="4" fontId="8" numFmtId="164" xfId="0" applyAlignment="1" applyBorder="1" applyFont="1" applyNumberFormat="1">
      <alignment horizontal="center"/>
    </xf>
    <xf borderId="4" fillId="5" fontId="8" numFmtId="164" xfId="0" applyAlignment="1" applyBorder="1" applyFont="1" applyNumberFormat="1">
      <alignment horizontal="center"/>
    </xf>
    <xf borderId="4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4" fillId="6" fontId="19" numFmtId="0" xfId="0" applyBorder="1" applyFont="1"/>
    <xf borderId="4" fillId="6" fontId="19" numFmtId="164" xfId="0" applyAlignment="1" applyBorder="1" applyFont="1" applyNumberFormat="1">
      <alignment horizontal="center" vertical="center"/>
    </xf>
    <xf borderId="4" fillId="10" fontId="14" numFmtId="0" xfId="0" applyBorder="1" applyFont="1"/>
    <xf borderId="8" fillId="4" fontId="8" numFmtId="165" xfId="0" applyAlignment="1" applyBorder="1" applyFont="1" applyNumberFormat="1">
      <alignment horizontal="center" vertical="center"/>
    </xf>
    <xf borderId="1" fillId="15" fontId="4" numFmtId="0" xfId="0" applyAlignment="1" applyBorder="1" applyFill="1" applyFont="1">
      <alignment horizontal="left" vertical="center"/>
    </xf>
    <xf borderId="1" fillId="9" fontId="10" numFmtId="0" xfId="0" applyAlignment="1" applyBorder="1" applyFont="1">
      <alignment horizontal="left" shrinkToFit="0" vertical="center" wrapText="1"/>
    </xf>
    <xf borderId="1" fillId="15" fontId="20" numFmtId="0" xfId="0" applyAlignment="1" applyBorder="1" applyFont="1">
      <alignment horizontal="left" vertical="center"/>
    </xf>
    <xf borderId="4" fillId="6" fontId="6" numFmtId="3" xfId="0" applyAlignment="1" applyBorder="1" applyFont="1" applyNumberFormat="1">
      <alignment horizontal="center" vertical="center"/>
    </xf>
    <xf borderId="4" fillId="5" fontId="8" numFmtId="166" xfId="0" applyAlignment="1" applyBorder="1" applyFont="1" applyNumberFormat="1">
      <alignment horizontal="center" vertical="center"/>
    </xf>
    <xf borderId="1" fillId="16" fontId="4" numFmtId="0" xfId="0" applyAlignment="1" applyBorder="1" applyFill="1" applyFont="1">
      <alignment horizontal="left" vertical="center"/>
    </xf>
    <xf borderId="1" fillId="16" fontId="21" numFmtId="0" xfId="0" applyAlignment="1" applyBorder="1" applyFont="1">
      <alignment horizontal="left" vertical="center"/>
    </xf>
    <xf borderId="4" fillId="15" fontId="8" numFmtId="3" xfId="0" applyAlignment="1" applyBorder="1" applyFont="1" applyNumberFormat="1">
      <alignment horizontal="center" vertical="center"/>
    </xf>
    <xf borderId="4" fillId="16" fontId="8" numFmtId="3" xfId="0" applyAlignment="1" applyBorder="1" applyFont="1" applyNumberFormat="1">
      <alignment horizontal="center" vertical="center"/>
    </xf>
    <xf borderId="4" fillId="15" fontId="8" numFmtId="164" xfId="0" applyAlignment="1" applyBorder="1" applyFont="1" applyNumberFormat="1">
      <alignment horizontal="center" vertical="center"/>
    </xf>
    <xf borderId="4" fillId="16" fontId="8" numFmtId="164" xfId="0" applyAlignment="1" applyBorder="1" applyFont="1" applyNumberFormat="1">
      <alignment horizontal="center" vertical="center"/>
    </xf>
    <xf borderId="4" fillId="15" fontId="8" numFmtId="166" xfId="0" applyAlignment="1" applyBorder="1" applyFont="1" applyNumberFormat="1">
      <alignment horizontal="center" vertical="center"/>
    </xf>
    <xf borderId="4" fillId="16" fontId="8" numFmtId="166" xfId="0" applyAlignment="1" applyBorder="1" applyFont="1" applyNumberFormat="1">
      <alignment horizontal="center" vertical="center"/>
    </xf>
    <xf borderId="4" fillId="6" fontId="8" numFmtId="166" xfId="0" applyAlignment="1" applyBorder="1" applyFont="1" applyNumberFormat="1">
      <alignment horizontal="center" vertical="center"/>
    </xf>
    <xf borderId="1" fillId="3" fontId="22" numFmtId="0" xfId="0" applyBorder="1" applyFont="1"/>
    <xf borderId="1" fillId="3" fontId="22" numFmtId="0" xfId="0" applyAlignment="1" applyBorder="1" applyFont="1">
      <alignment horizontal="left" vertical="center"/>
    </xf>
    <xf borderId="1" fillId="17" fontId="22" numFmtId="0" xfId="0" applyAlignment="1" applyBorder="1" applyFill="1" applyFont="1">
      <alignment horizontal="left" vertical="center"/>
    </xf>
    <xf borderId="1" fillId="11" fontId="22" numFmtId="0" xfId="0" applyAlignment="1" applyBorder="1" applyFont="1">
      <alignment horizontal="left" vertical="center"/>
    </xf>
    <xf borderId="5" fillId="5" fontId="8" numFmtId="164" xfId="0" applyAlignment="1" applyBorder="1" applyFont="1" applyNumberFormat="1">
      <alignment horizontal="center" vertical="center"/>
    </xf>
    <xf borderId="5" fillId="5" fontId="8" numFmtId="2" xfId="0" applyAlignment="1" applyBorder="1" applyFont="1" applyNumberFormat="1">
      <alignment horizontal="center" vertical="center"/>
    </xf>
    <xf borderId="5" fillId="5" fontId="8" numFmtId="165" xfId="0" applyAlignment="1" applyBorder="1" applyFont="1" applyNumberFormat="1">
      <alignment horizontal="center" vertical="center"/>
    </xf>
    <xf borderId="5" fillId="5" fontId="8" numFmtId="166" xfId="0" applyAlignment="1" applyBorder="1" applyFont="1" applyNumberFormat="1">
      <alignment horizontal="center" vertical="center"/>
    </xf>
    <xf borderId="17" fillId="4" fontId="8" numFmtId="0" xfId="0" applyBorder="1" applyFont="1"/>
    <xf borderId="18" fillId="0" fontId="2" numFmtId="0" xfId="0" applyBorder="1" applyFont="1"/>
    <xf borderId="19" fillId="0" fontId="2" numFmtId="0" xfId="0" applyBorder="1" applyFont="1"/>
    <xf borderId="1" fillId="4" fontId="2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Dials vs Leads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Dials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Data'!$B$7</c:f>
              <c:numCache/>
            </c:numRef>
          </c:val>
        </c:ser>
        <c:ser>
          <c:idx val="1"/>
          <c:order val="1"/>
          <c:tx>
            <c:v>Leads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Data'!$C$7</c:f>
              <c:numCache/>
            </c:numRef>
          </c:val>
        </c:ser>
        <c:ser>
          <c:idx val="2"/>
          <c:order val="2"/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Data'!$D$7</c:f>
              <c:numCache/>
            </c:numRef>
          </c:val>
        </c:ser>
        <c:ser>
          <c:idx val="3"/>
          <c:order val="3"/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Data'!$E$7</c:f>
              <c:numCache/>
            </c:numRef>
          </c:val>
        </c:ser>
        <c:ser>
          <c:idx val="4"/>
          <c:order val="4"/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Data'!$F$7</c:f>
              <c:numCache/>
            </c:numRef>
          </c:val>
        </c:ser>
        <c:ser>
          <c:idx val="5"/>
          <c:order val="5"/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Data'!$G$7</c:f>
              <c:numCache/>
            </c:numRef>
          </c:val>
        </c:ser>
        <c:ser>
          <c:idx val="6"/>
          <c:order val="6"/>
          <c:spPr>
            <a:solidFill>
              <a:srgbClr val="BED1E7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Data'!$H$7</c:f>
              <c:numCache/>
            </c:numRef>
          </c:val>
        </c:ser>
        <c:ser>
          <c:idx val="7"/>
          <c:order val="7"/>
          <c:spPr>
            <a:solidFill>
              <a:srgbClr val="E8BFBE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Data'!$I$7</c:f>
              <c:numCache/>
            </c:numRef>
          </c:val>
        </c:ser>
        <c:ser>
          <c:idx val="8"/>
          <c:order val="8"/>
          <c:spPr>
            <a:solidFill>
              <a:srgbClr val="DCE7C6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Data'!$J$7</c:f>
              <c:numCache/>
            </c:numRef>
          </c:val>
        </c:ser>
        <c:ser>
          <c:idx val="9"/>
          <c:order val="9"/>
          <c:spPr>
            <a:solidFill>
              <a:srgbClr val="CEC4DB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Data'!$K$7</c:f>
              <c:numCache/>
            </c:numRef>
          </c:val>
        </c:ser>
        <c:ser>
          <c:idx val="10"/>
          <c:order val="10"/>
          <c:spPr>
            <a:solidFill>
              <a:srgbClr val="BFE2EB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Data'!$L$7</c:f>
              <c:numCache/>
            </c:numRef>
          </c:val>
        </c:ser>
        <c:ser>
          <c:idx val="11"/>
          <c:order val="11"/>
          <c:spPr>
            <a:solidFill>
              <a:srgbClr val="FDE9D9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Data'!$M$7</c:f>
              <c:numCache/>
            </c:numRef>
          </c:val>
        </c:ser>
        <c:ser>
          <c:idx val="12"/>
          <c:order val="12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Data'!$B$9</c:f>
              <c:numCache/>
            </c:numRef>
          </c:val>
        </c:ser>
        <c:ser>
          <c:idx val="13"/>
          <c:order val="13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Data'!$C$9</c:f>
              <c:numCache/>
            </c:numRef>
          </c:val>
        </c:ser>
        <c:ser>
          <c:idx val="14"/>
          <c:order val="14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Data'!$D$9</c:f>
              <c:numCache/>
            </c:numRef>
          </c:val>
        </c:ser>
        <c:ser>
          <c:idx val="15"/>
          <c:order val="15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Data'!$E$9</c:f>
              <c:numCache/>
            </c:numRef>
          </c:val>
        </c:ser>
        <c:ser>
          <c:idx val="16"/>
          <c:order val="16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Data'!$F$9</c:f>
              <c:numCache/>
            </c:numRef>
          </c:val>
        </c:ser>
        <c:ser>
          <c:idx val="17"/>
          <c:order val="17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Data'!$G$9</c:f>
              <c:numCache/>
            </c:numRef>
          </c:val>
        </c:ser>
        <c:ser>
          <c:idx val="18"/>
          <c:order val="18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Data'!$H$9</c:f>
              <c:numCache/>
            </c:numRef>
          </c:val>
        </c:ser>
        <c:ser>
          <c:idx val="19"/>
          <c:order val="19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Data'!$I$9</c:f>
              <c:numCache/>
            </c:numRef>
          </c:val>
        </c:ser>
        <c:ser>
          <c:idx val="20"/>
          <c:order val="20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Data'!$J$9</c:f>
              <c:numCache/>
            </c:numRef>
          </c:val>
        </c:ser>
        <c:ser>
          <c:idx val="21"/>
          <c:order val="21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Data'!$K$9</c:f>
              <c:numCache/>
            </c:numRef>
          </c:val>
        </c:ser>
        <c:ser>
          <c:idx val="22"/>
          <c:order val="22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Data'!$L$9</c:f>
              <c:numCache/>
            </c:numRef>
          </c:val>
        </c:ser>
        <c:ser>
          <c:idx val="23"/>
          <c:order val="23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Data'!$M$9</c:f>
              <c:numCache/>
            </c:numRef>
          </c:val>
        </c:ser>
        <c:axId val="1166475167"/>
        <c:axId val="1739433731"/>
      </c:barChart>
      <c:catAx>
        <c:axId val="1166475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9433731"/>
      </c:catAx>
      <c:valAx>
        <c:axId val="1739433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64751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Booked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Data'!$B$16</c:f>
              <c:numCache/>
            </c:numRef>
          </c:val>
        </c:ser>
        <c:ser>
          <c:idx val="1"/>
          <c:order val="1"/>
          <c:tx>
            <c:v>Closed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Data'!$C$16</c:f>
              <c:numCache/>
            </c:numRef>
          </c:val>
        </c:ser>
        <c:ser>
          <c:idx val="2"/>
          <c:order val="2"/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Data'!$D$16</c:f>
              <c:numCache/>
            </c:numRef>
          </c:val>
        </c:ser>
        <c:ser>
          <c:idx val="3"/>
          <c:order val="3"/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Data'!$E$16</c:f>
              <c:numCache/>
            </c:numRef>
          </c:val>
        </c:ser>
        <c:ser>
          <c:idx val="4"/>
          <c:order val="4"/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Data'!$F$16</c:f>
              <c:numCache/>
            </c:numRef>
          </c:val>
        </c:ser>
        <c:ser>
          <c:idx val="5"/>
          <c:order val="5"/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Data'!$G$16</c:f>
              <c:numCache/>
            </c:numRef>
          </c:val>
        </c:ser>
        <c:ser>
          <c:idx val="6"/>
          <c:order val="6"/>
          <c:spPr>
            <a:solidFill>
              <a:srgbClr val="BED1E7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Data'!$H$16</c:f>
              <c:numCache/>
            </c:numRef>
          </c:val>
        </c:ser>
        <c:ser>
          <c:idx val="7"/>
          <c:order val="7"/>
          <c:spPr>
            <a:solidFill>
              <a:srgbClr val="E8BFBE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Data'!$I$16</c:f>
              <c:numCache/>
            </c:numRef>
          </c:val>
        </c:ser>
        <c:ser>
          <c:idx val="8"/>
          <c:order val="8"/>
          <c:spPr>
            <a:solidFill>
              <a:srgbClr val="DCE7C6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Data'!$J$16</c:f>
              <c:numCache/>
            </c:numRef>
          </c:val>
        </c:ser>
        <c:ser>
          <c:idx val="9"/>
          <c:order val="9"/>
          <c:spPr>
            <a:solidFill>
              <a:srgbClr val="CEC4DB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Data'!$K$16</c:f>
              <c:numCache/>
            </c:numRef>
          </c:val>
        </c:ser>
        <c:ser>
          <c:idx val="10"/>
          <c:order val="10"/>
          <c:spPr>
            <a:solidFill>
              <a:srgbClr val="BFE2EB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Data'!$L$16</c:f>
              <c:numCache/>
            </c:numRef>
          </c:val>
        </c:ser>
        <c:ser>
          <c:idx val="11"/>
          <c:order val="11"/>
          <c:spPr>
            <a:solidFill>
              <a:srgbClr val="FDE9D9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Data'!$M$16</c:f>
              <c:numCache/>
            </c:numRef>
          </c:val>
        </c:ser>
        <c:ser>
          <c:idx val="12"/>
          <c:order val="12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Data'!$B$19</c:f>
              <c:numCache/>
            </c:numRef>
          </c:val>
        </c:ser>
        <c:ser>
          <c:idx val="13"/>
          <c:order val="13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Data'!$C$19</c:f>
              <c:numCache/>
            </c:numRef>
          </c:val>
        </c:ser>
        <c:ser>
          <c:idx val="14"/>
          <c:order val="14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'Monthly Data'!$B$5:$M$5</c:f>
            </c:strRef>
          </c:cat>
          <c:val>
            <c:numRef>
              <c:f>'Monthly Data'!$D$19</c:f>
              <c:numCache/>
            </c:numRef>
          </c:val>
        </c:ser>
        <c:ser>
          <c:idx val="15"/>
          <c:order val="15"/>
          <c:cat>
            <c:strRef>
              <c:f>'Monthly Data'!$B$5:$M$5</c:f>
            </c:strRef>
          </c:cat>
          <c:val>
            <c:numRef>
              <c:f>'Monthly Data'!$E$19</c:f>
              <c:numCache/>
            </c:numRef>
          </c:val>
        </c:ser>
        <c:ser>
          <c:idx val="16"/>
          <c:order val="16"/>
          <c:cat>
            <c:strRef>
              <c:f>'Monthly Data'!$B$5:$M$5</c:f>
            </c:strRef>
          </c:cat>
          <c:val>
            <c:numRef>
              <c:f>'Monthly Data'!$F$19</c:f>
              <c:numCache/>
            </c:numRef>
          </c:val>
        </c:ser>
        <c:ser>
          <c:idx val="17"/>
          <c:order val="17"/>
          <c:cat>
            <c:strRef>
              <c:f>'Monthly Data'!$B$5:$M$5</c:f>
            </c:strRef>
          </c:cat>
          <c:val>
            <c:numRef>
              <c:f>'Monthly Data'!$G$19</c:f>
              <c:numCache/>
            </c:numRef>
          </c:val>
        </c:ser>
        <c:ser>
          <c:idx val="18"/>
          <c:order val="18"/>
          <c:cat>
            <c:strRef>
              <c:f>'Monthly Data'!$B$5:$M$5</c:f>
            </c:strRef>
          </c:cat>
          <c:val>
            <c:numRef>
              <c:f>'Monthly Data'!$H$19</c:f>
              <c:numCache/>
            </c:numRef>
          </c:val>
        </c:ser>
        <c:ser>
          <c:idx val="19"/>
          <c:order val="19"/>
          <c:cat>
            <c:strRef>
              <c:f>'Monthly Data'!$B$5:$M$5</c:f>
            </c:strRef>
          </c:cat>
          <c:val>
            <c:numRef>
              <c:f>'Monthly Data'!$I$19</c:f>
              <c:numCache/>
            </c:numRef>
          </c:val>
        </c:ser>
        <c:ser>
          <c:idx val="20"/>
          <c:order val="20"/>
          <c:cat>
            <c:strRef>
              <c:f>'Monthly Data'!$B$5:$M$5</c:f>
            </c:strRef>
          </c:cat>
          <c:val>
            <c:numRef>
              <c:f>'Monthly Data'!$J$19</c:f>
              <c:numCache/>
            </c:numRef>
          </c:val>
        </c:ser>
        <c:ser>
          <c:idx val="21"/>
          <c:order val="21"/>
          <c:cat>
            <c:strRef>
              <c:f>'Monthly Data'!$B$5:$M$5</c:f>
            </c:strRef>
          </c:cat>
          <c:val>
            <c:numRef>
              <c:f>'Monthly Data'!$K$19</c:f>
              <c:numCache/>
            </c:numRef>
          </c:val>
        </c:ser>
        <c:ser>
          <c:idx val="22"/>
          <c:order val="22"/>
          <c:cat>
            <c:strRef>
              <c:f>'Monthly Data'!$B$5:$M$5</c:f>
            </c:strRef>
          </c:cat>
          <c:val>
            <c:numRef>
              <c:f>'Monthly Data'!$L$19</c:f>
              <c:numCache/>
            </c:numRef>
          </c:val>
        </c:ser>
        <c:ser>
          <c:idx val="23"/>
          <c:order val="23"/>
          <c:cat>
            <c:strRef>
              <c:f>'Monthly Data'!$B$5:$M$5</c:f>
            </c:strRef>
          </c:cat>
          <c:val>
            <c:numRef>
              <c:f>'Monthly Data'!$M$19</c:f>
              <c:numCache/>
            </c:numRef>
          </c:val>
        </c:ser>
        <c:axId val="1691676747"/>
        <c:axId val="1395215498"/>
      </c:barChart>
      <c:catAx>
        <c:axId val="1691676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5215498"/>
      </c:catAx>
      <c:valAx>
        <c:axId val="1395215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16767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5038725" cy="2876550"/>
    <xdr:graphicFrame>
      <xdr:nvGraphicFramePr>
        <xdr:cNvPr id="43114793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18</xdr:row>
      <xdr:rowOff>0</xdr:rowOff>
    </xdr:from>
    <xdr:ext cx="5038725" cy="2876550"/>
    <xdr:graphicFrame>
      <xdr:nvGraphicFramePr>
        <xdr:cNvPr id="119434371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3" width="15.0"/>
    <col customWidth="1" min="4" max="6" width="12.0"/>
    <col customWidth="1" min="7" max="7" width="26.0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</row>
    <row r="4">
      <c r="A4" s="5" t="s">
        <v>2</v>
      </c>
      <c r="B4" s="2"/>
      <c r="C4" s="2"/>
      <c r="D4" s="2"/>
      <c r="E4" s="2"/>
      <c r="F4" s="2"/>
      <c r="G4" s="3"/>
    </row>
    <row r="6">
      <c r="A6" s="6" t="s">
        <v>3</v>
      </c>
      <c r="B6" s="7" t="s">
        <v>4</v>
      </c>
      <c r="D6" s="8" t="s">
        <v>5</v>
      </c>
    </row>
    <row r="7">
      <c r="A7" s="6" t="s">
        <v>6</v>
      </c>
      <c r="B7" s="7" t="s">
        <v>7</v>
      </c>
      <c r="D7" s="8" t="s">
        <v>8</v>
      </c>
    </row>
    <row r="8">
      <c r="A8" s="6" t="s">
        <v>9</v>
      </c>
      <c r="B8" s="7" t="s">
        <v>10</v>
      </c>
      <c r="D8" s="8" t="s">
        <v>11</v>
      </c>
    </row>
    <row r="9">
      <c r="A9" s="6" t="s">
        <v>12</v>
      </c>
      <c r="B9" s="7" t="s">
        <v>13</v>
      </c>
      <c r="D9" s="8" t="s">
        <v>14</v>
      </c>
    </row>
    <row r="10">
      <c r="A10" s="6" t="s">
        <v>15</v>
      </c>
      <c r="B10" s="7" t="s">
        <v>16</v>
      </c>
      <c r="D10" s="8" t="s">
        <v>17</v>
      </c>
    </row>
    <row r="11">
      <c r="A11" s="6" t="s">
        <v>18</v>
      </c>
      <c r="B11" s="7" t="s">
        <v>19</v>
      </c>
      <c r="D11" s="8" t="s">
        <v>20</v>
      </c>
    </row>
    <row r="14">
      <c r="A14" s="9" t="s">
        <v>21</v>
      </c>
      <c r="B14" s="2"/>
      <c r="C14" s="2"/>
      <c r="D14" s="2"/>
      <c r="E14" s="2"/>
      <c r="F14" s="2"/>
      <c r="G14" s="3"/>
    </row>
    <row r="16">
      <c r="A16" s="10"/>
      <c r="B16" s="7" t="s">
        <v>22</v>
      </c>
      <c r="C16" s="8" t="s">
        <v>23</v>
      </c>
    </row>
    <row r="17">
      <c r="A17" s="11"/>
      <c r="B17" s="7" t="s">
        <v>24</v>
      </c>
      <c r="C17" s="8" t="s">
        <v>25</v>
      </c>
    </row>
    <row r="18">
      <c r="A18" s="12"/>
      <c r="B18" s="7" t="s">
        <v>26</v>
      </c>
      <c r="C18" s="8" t="s">
        <v>27</v>
      </c>
    </row>
    <row r="19">
      <c r="A19" s="13"/>
      <c r="B19" s="7" t="s">
        <v>28</v>
      </c>
      <c r="C19" s="8" t="s">
        <v>29</v>
      </c>
    </row>
    <row r="20">
      <c r="A20" s="14"/>
      <c r="B20" s="7" t="s">
        <v>30</v>
      </c>
      <c r="C20" s="8" t="s">
        <v>31</v>
      </c>
    </row>
    <row r="21" ht="15.75" customHeight="1"/>
    <row r="22" ht="15.75" customHeight="1"/>
    <row r="23" ht="15.75" customHeight="1">
      <c r="A23" s="9" t="s">
        <v>32</v>
      </c>
      <c r="B23" s="2"/>
      <c r="C23" s="2"/>
      <c r="D23" s="2"/>
      <c r="E23" s="2"/>
      <c r="F23" s="2"/>
      <c r="G23" s="3"/>
    </row>
    <row r="24" ht="15.75" customHeight="1"/>
    <row r="25" ht="15.75" customHeight="1">
      <c r="A25" s="15" t="s">
        <v>33</v>
      </c>
      <c r="B25" s="7" t="s">
        <v>34</v>
      </c>
      <c r="C25" s="8" t="s">
        <v>35</v>
      </c>
      <c r="G25" s="16" t="s">
        <v>36</v>
      </c>
    </row>
    <row r="26" ht="15.75" customHeight="1">
      <c r="A26" s="15" t="s">
        <v>33</v>
      </c>
      <c r="B26" s="7" t="s">
        <v>37</v>
      </c>
      <c r="C26" s="8" t="s">
        <v>38</v>
      </c>
      <c r="G26" s="16" t="s">
        <v>39</v>
      </c>
    </row>
    <row r="27" ht="15.75" customHeight="1">
      <c r="A27" s="15" t="s">
        <v>33</v>
      </c>
      <c r="B27" s="7" t="s">
        <v>40</v>
      </c>
      <c r="C27" s="8" t="s">
        <v>41</v>
      </c>
      <c r="G27" s="16" t="s">
        <v>42</v>
      </c>
    </row>
    <row r="28" ht="15.75" customHeight="1">
      <c r="A28" s="15" t="s">
        <v>33</v>
      </c>
      <c r="B28" s="7" t="s">
        <v>43</v>
      </c>
      <c r="C28" s="8" t="s">
        <v>44</v>
      </c>
      <c r="G28" s="16" t="s">
        <v>45</v>
      </c>
    </row>
    <row r="29" ht="15.75" customHeight="1">
      <c r="A29" s="17" t="s">
        <v>33</v>
      </c>
      <c r="B29" s="17" t="s">
        <v>46</v>
      </c>
      <c r="C29" s="17" t="s">
        <v>47</v>
      </c>
      <c r="G29" s="17" t="s">
        <v>48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G1"/>
    <mergeCell ref="A2:G2"/>
    <mergeCell ref="A4:G4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A23:G23"/>
    <mergeCell ref="C25:F25"/>
    <mergeCell ref="C26:F26"/>
    <mergeCell ref="C27:F27"/>
    <mergeCell ref="C28:F28"/>
    <mergeCell ref="D11:G11"/>
    <mergeCell ref="A14:G14"/>
    <mergeCell ref="C16:G16"/>
    <mergeCell ref="C17:G17"/>
    <mergeCell ref="C18:G18"/>
    <mergeCell ref="C19:G19"/>
    <mergeCell ref="C20:G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35.0"/>
    <col customWidth="1" min="4" max="4" width="18.0"/>
    <col customWidth="1" min="5" max="7" width="8.71"/>
  </cols>
  <sheetData>
    <row r="1" ht="34.5" customHeight="1">
      <c r="A1" s="1" t="s">
        <v>49</v>
      </c>
      <c r="B1" s="2"/>
      <c r="C1" s="2"/>
      <c r="D1" s="2"/>
      <c r="E1" s="2"/>
      <c r="F1" s="2"/>
      <c r="G1" s="3"/>
    </row>
    <row r="3">
      <c r="A3" s="18" t="s">
        <v>50</v>
      </c>
      <c r="B3" s="19"/>
      <c r="C3" s="19"/>
      <c r="D3" s="19"/>
      <c r="E3" s="19"/>
      <c r="F3" s="19"/>
      <c r="G3" s="20"/>
    </row>
    <row r="5">
      <c r="A5" s="21" t="s">
        <v>51</v>
      </c>
      <c r="B5" s="2"/>
      <c r="C5" s="2"/>
      <c r="D5" s="2"/>
      <c r="E5" s="2"/>
      <c r="F5" s="2"/>
      <c r="G5" s="3"/>
    </row>
    <row r="7">
      <c r="A7" s="22" t="s">
        <v>52</v>
      </c>
      <c r="B7" s="22" t="s">
        <v>53</v>
      </c>
      <c r="C7" s="22" t="s">
        <v>54</v>
      </c>
      <c r="D7" s="22" t="s">
        <v>55</v>
      </c>
    </row>
    <row r="8">
      <c r="A8" s="23" t="s">
        <v>56</v>
      </c>
      <c r="B8" s="24">
        <v>500000.0</v>
      </c>
      <c r="C8" s="25" t="s">
        <v>57</v>
      </c>
      <c r="D8" s="26" t="s">
        <v>58</v>
      </c>
    </row>
    <row r="9">
      <c r="A9" s="23" t="s">
        <v>59</v>
      </c>
      <c r="B9" s="27">
        <v>20000.0</v>
      </c>
      <c r="C9" s="25" t="s">
        <v>60</v>
      </c>
      <c r="D9" s="26" t="s">
        <v>61</v>
      </c>
    </row>
    <row r="10">
      <c r="A10" s="23" t="s">
        <v>62</v>
      </c>
      <c r="B10" s="28">
        <v>0.9</v>
      </c>
      <c r="C10" s="25" t="s">
        <v>63</v>
      </c>
      <c r="D10" s="26" t="s">
        <v>64</v>
      </c>
    </row>
    <row r="12">
      <c r="A12" s="21" t="s">
        <v>65</v>
      </c>
      <c r="B12" s="2"/>
      <c r="C12" s="2"/>
      <c r="D12" s="2"/>
      <c r="E12" s="2"/>
      <c r="F12" s="2"/>
      <c r="G12" s="3"/>
    </row>
    <row r="14">
      <c r="A14" s="18" t="s">
        <v>66</v>
      </c>
      <c r="B14" s="19"/>
      <c r="C14" s="19"/>
      <c r="D14" s="19"/>
      <c r="E14" s="19"/>
      <c r="F14" s="19"/>
      <c r="G14" s="20"/>
    </row>
    <row r="16">
      <c r="A16" s="22" t="s">
        <v>67</v>
      </c>
      <c r="B16" s="22" t="s">
        <v>53</v>
      </c>
      <c r="C16" s="22" t="s">
        <v>68</v>
      </c>
      <c r="D16" s="22" t="s">
        <v>69</v>
      </c>
    </row>
    <row r="17">
      <c r="A17" s="23" t="s">
        <v>70</v>
      </c>
      <c r="B17" s="29">
        <v>50.0</v>
      </c>
      <c r="C17" s="25" t="s">
        <v>71</v>
      </c>
      <c r="D17" s="26" t="s">
        <v>72</v>
      </c>
      <c r="E17" s="30" t="s">
        <v>73</v>
      </c>
    </row>
    <row r="18">
      <c r="A18" s="23" t="s">
        <v>74</v>
      </c>
      <c r="B18" s="31">
        <v>30.0</v>
      </c>
      <c r="C18" s="25" t="s">
        <v>75</v>
      </c>
      <c r="D18" s="26" t="s">
        <v>76</v>
      </c>
      <c r="E18" s="30" t="s">
        <v>77</v>
      </c>
    </row>
    <row r="19">
      <c r="A19" s="23" t="s">
        <v>78</v>
      </c>
      <c r="B19" s="31">
        <v>6.0</v>
      </c>
      <c r="C19" s="25" t="s">
        <v>79</v>
      </c>
      <c r="D19" s="26" t="s">
        <v>80</v>
      </c>
    </row>
    <row r="21" ht="15.75" customHeight="1">
      <c r="A21" s="21" t="s">
        <v>81</v>
      </c>
      <c r="B21" s="2"/>
      <c r="C21" s="2"/>
      <c r="D21" s="2"/>
      <c r="E21" s="2"/>
      <c r="F21" s="2"/>
      <c r="G21" s="3"/>
    </row>
    <row r="22" ht="15.75" customHeight="1"/>
    <row r="23" ht="15.75" customHeight="1">
      <c r="A23" s="18" t="s">
        <v>82</v>
      </c>
      <c r="B23" s="19"/>
      <c r="C23" s="19"/>
      <c r="D23" s="19"/>
      <c r="E23" s="19"/>
      <c r="F23" s="19"/>
      <c r="G23" s="20"/>
    </row>
    <row r="24" ht="15.75" customHeight="1"/>
    <row r="25" ht="15.75" customHeight="1">
      <c r="A25" s="22" t="s">
        <v>83</v>
      </c>
      <c r="B25" s="22" t="s">
        <v>84</v>
      </c>
      <c r="C25" s="22" t="s">
        <v>85</v>
      </c>
      <c r="D25" s="22" t="s">
        <v>86</v>
      </c>
    </row>
    <row r="26" ht="15.75" customHeight="1">
      <c r="A26" s="23" t="s">
        <v>87</v>
      </c>
      <c r="B26" s="32">
        <f>B8/B9</f>
        <v>25</v>
      </c>
      <c r="C26" s="33">
        <f t="shared" ref="C26:C30" si="1">B26/12</f>
        <v>2.083333333</v>
      </c>
      <c r="D26" s="33">
        <f t="shared" ref="D26:D30" si="2">B26/52</f>
        <v>0.4807692308</v>
      </c>
    </row>
    <row r="27" ht="15.75" customHeight="1">
      <c r="A27" s="23" t="s">
        <v>88</v>
      </c>
      <c r="B27" s="32">
        <f>B26/B10</f>
        <v>27.77777778</v>
      </c>
      <c r="C27" s="33">
        <f t="shared" si="1"/>
        <v>2.314814815</v>
      </c>
      <c r="D27" s="33">
        <f t="shared" si="2"/>
        <v>0.5341880342</v>
      </c>
    </row>
    <row r="28" ht="15.75" customHeight="1">
      <c r="A28" s="23" t="s">
        <v>89</v>
      </c>
      <c r="B28" s="32">
        <f>B27*B19</f>
        <v>166.6666667</v>
      </c>
      <c r="C28" s="33">
        <f t="shared" si="1"/>
        <v>13.88888889</v>
      </c>
      <c r="D28" s="33">
        <f t="shared" si="2"/>
        <v>3.205128205</v>
      </c>
    </row>
    <row r="29" ht="15.75" customHeight="1">
      <c r="A29" s="23" t="s">
        <v>90</v>
      </c>
      <c r="B29" s="32">
        <f>B27*B18</f>
        <v>833.3333333</v>
      </c>
      <c r="C29" s="33">
        <f t="shared" si="1"/>
        <v>69.44444444</v>
      </c>
      <c r="D29" s="33">
        <f t="shared" si="2"/>
        <v>16.02564103</v>
      </c>
    </row>
    <row r="30" ht="15.75" customHeight="1">
      <c r="A30" s="23" t="s">
        <v>91</v>
      </c>
      <c r="B30" s="32">
        <f>B29*B17</f>
        <v>41666.66667</v>
      </c>
      <c r="C30" s="32">
        <f t="shared" si="1"/>
        <v>3472.222222</v>
      </c>
      <c r="D30" s="32">
        <f t="shared" si="2"/>
        <v>801.2820513</v>
      </c>
    </row>
    <row r="31" ht="15.75" customHeight="1"/>
    <row r="32" ht="15.75" customHeight="1">
      <c r="A32" s="34" t="s">
        <v>92</v>
      </c>
      <c r="B32" s="35"/>
      <c r="C32" s="35"/>
      <c r="D32" s="35"/>
    </row>
    <row r="33" ht="15.75" customHeight="1">
      <c r="A33" s="36" t="s">
        <v>93</v>
      </c>
      <c r="B33" s="37"/>
      <c r="C33" s="37"/>
      <c r="D33" s="38"/>
    </row>
    <row r="34" ht="15.75" customHeight="1">
      <c r="A34" s="39" t="s">
        <v>83</v>
      </c>
      <c r="B34" s="39" t="s">
        <v>94</v>
      </c>
      <c r="C34" s="39" t="s">
        <v>54</v>
      </c>
      <c r="D34" s="39" t="s">
        <v>95</v>
      </c>
    </row>
    <row r="35" ht="15.75" customHeight="1">
      <c r="A35" s="40" t="s">
        <v>96</v>
      </c>
      <c r="B35" s="41">
        <v>50.0</v>
      </c>
      <c r="C35" s="40" t="s">
        <v>97</v>
      </c>
      <c r="D35" s="42" t="s">
        <v>98</v>
      </c>
    </row>
    <row r="36" ht="15.75" customHeight="1">
      <c r="A36" s="40" t="s">
        <v>99</v>
      </c>
      <c r="B36" s="41">
        <v>5.0</v>
      </c>
      <c r="C36" s="40" t="s">
        <v>100</v>
      </c>
      <c r="D36" s="42" t="s">
        <v>101</v>
      </c>
    </row>
    <row r="37" ht="15.75" customHeight="1">
      <c r="A37" s="40" t="s">
        <v>102</v>
      </c>
      <c r="B37" s="41">
        <v>20.0</v>
      </c>
      <c r="C37" s="40" t="s">
        <v>103</v>
      </c>
      <c r="D37" s="42" t="s">
        <v>104</v>
      </c>
    </row>
    <row r="38" ht="15.75" customHeight="1">
      <c r="A38" s="40" t="s">
        <v>105</v>
      </c>
      <c r="B38" s="41">
        <v>3.0</v>
      </c>
      <c r="C38" s="40" t="s">
        <v>106</v>
      </c>
      <c r="D38" s="42" t="s">
        <v>107</v>
      </c>
    </row>
    <row r="39" ht="15.75" customHeight="1">
      <c r="A39" s="40" t="s">
        <v>108</v>
      </c>
      <c r="B39" s="41">
        <v>2.0</v>
      </c>
      <c r="C39" s="40" t="s">
        <v>109</v>
      </c>
      <c r="D39" s="42" t="s">
        <v>110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3:G3"/>
    <mergeCell ref="A5:G5"/>
    <mergeCell ref="A12:G12"/>
    <mergeCell ref="A14:G14"/>
    <mergeCell ref="A21:G21"/>
    <mergeCell ref="A23:G23"/>
    <mergeCell ref="A33:D3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15" width="11.0"/>
  </cols>
  <sheetData>
    <row r="1" ht="34.5" customHeight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>
      <c r="A3" s="43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5">
      <c r="A5" s="44" t="s">
        <v>113</v>
      </c>
      <c r="B5" s="44" t="s">
        <v>114</v>
      </c>
      <c r="C5" s="44" t="s">
        <v>115</v>
      </c>
      <c r="D5" s="44" t="s">
        <v>116</v>
      </c>
      <c r="E5" s="44" t="s">
        <v>117</v>
      </c>
      <c r="F5" s="44" t="s">
        <v>118</v>
      </c>
      <c r="G5" s="44" t="s">
        <v>119</v>
      </c>
      <c r="H5" s="44" t="s">
        <v>120</v>
      </c>
      <c r="I5" s="44" t="s">
        <v>121</v>
      </c>
      <c r="J5" s="44" t="s">
        <v>122</v>
      </c>
      <c r="K5" s="44" t="s">
        <v>123</v>
      </c>
      <c r="L5" s="44" t="s">
        <v>124</v>
      </c>
      <c r="M5" s="44" t="s">
        <v>125</v>
      </c>
      <c r="N5" s="44" t="s">
        <v>126</v>
      </c>
      <c r="O5" s="44" t="s">
        <v>127</v>
      </c>
    </row>
    <row r="6">
      <c r="A6" s="5" t="s">
        <v>128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45" t="s">
        <v>129</v>
      </c>
    </row>
    <row r="7">
      <c r="A7" s="23" t="s">
        <v>130</v>
      </c>
      <c r="B7" s="46">
        <v>4209.0</v>
      </c>
      <c r="C7" s="46">
        <v>4534.0</v>
      </c>
      <c r="D7" s="46">
        <v>4101.0</v>
      </c>
      <c r="E7" s="46">
        <v>3573.0</v>
      </c>
      <c r="F7" s="46">
        <v>4198.0</v>
      </c>
      <c r="G7" s="46">
        <v>5865.0</v>
      </c>
      <c r="H7" s="46">
        <v>8362.0</v>
      </c>
      <c r="I7" s="46">
        <v>7522.0</v>
      </c>
      <c r="J7" s="46">
        <v>7464.0</v>
      </c>
      <c r="K7" s="46">
        <v>5991.0</v>
      </c>
      <c r="L7" s="46">
        <v>5068.0</v>
      </c>
      <c r="M7" s="46">
        <v>6534.0</v>
      </c>
      <c r="N7" s="32">
        <f t="shared" ref="N7:N9" si="1">SUM(B7:M7)</f>
        <v>67421</v>
      </c>
      <c r="O7" s="32">
        <f>'Goals &amp; Setup'!C30*12</f>
        <v>41666.66667</v>
      </c>
    </row>
    <row r="8">
      <c r="A8" s="23" t="s">
        <v>131</v>
      </c>
      <c r="B8" s="46">
        <v>112.0</v>
      </c>
      <c r="C8" s="46">
        <v>141.0</v>
      </c>
      <c r="D8" s="46">
        <v>116.0</v>
      </c>
      <c r="E8" s="46">
        <v>162.0</v>
      </c>
      <c r="F8" s="46">
        <v>138.0</v>
      </c>
      <c r="G8" s="46">
        <v>171.0</v>
      </c>
      <c r="H8" s="46">
        <v>268.0</v>
      </c>
      <c r="I8" s="46">
        <v>200.0</v>
      </c>
      <c r="J8" s="46">
        <v>201.0</v>
      </c>
      <c r="K8" s="46">
        <v>175.0</v>
      </c>
      <c r="L8" s="46">
        <v>157.0</v>
      </c>
      <c r="M8" s="46">
        <v>208.0</v>
      </c>
      <c r="N8" s="32">
        <f t="shared" si="1"/>
        <v>2049</v>
      </c>
      <c r="O8" s="47" t="s">
        <v>132</v>
      </c>
    </row>
    <row r="9">
      <c r="A9" s="23" t="s">
        <v>133</v>
      </c>
      <c r="B9" s="46">
        <v>66.0</v>
      </c>
      <c r="C9" s="46">
        <v>62.0</v>
      </c>
      <c r="D9" s="46">
        <v>51.0</v>
      </c>
      <c r="E9" s="46">
        <v>70.0</v>
      </c>
      <c r="F9" s="46">
        <v>51.0</v>
      </c>
      <c r="G9" s="46">
        <v>77.0</v>
      </c>
      <c r="H9" s="46">
        <v>102.0</v>
      </c>
      <c r="I9" s="46">
        <v>92.0</v>
      </c>
      <c r="J9" s="46">
        <v>89.0</v>
      </c>
      <c r="K9" s="46">
        <v>74.0</v>
      </c>
      <c r="L9" s="46">
        <v>61.0</v>
      </c>
      <c r="M9" s="46">
        <v>75.0</v>
      </c>
      <c r="N9" s="32">
        <f t="shared" si="1"/>
        <v>870</v>
      </c>
      <c r="O9" s="32">
        <f>'Goals &amp; Setup'!C29*12</f>
        <v>833.3333333</v>
      </c>
    </row>
    <row r="10">
      <c r="A10" s="5" t="s">
        <v>134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>
      <c r="A11" s="23" t="s">
        <v>135</v>
      </c>
      <c r="B11" s="46">
        <v>33.0</v>
      </c>
      <c r="C11" s="46">
        <v>22.0</v>
      </c>
      <c r="D11" s="46">
        <v>21.0</v>
      </c>
      <c r="E11" s="46">
        <v>31.0</v>
      </c>
      <c r="F11" s="46">
        <v>21.0</v>
      </c>
      <c r="G11" s="46">
        <v>27.0</v>
      </c>
      <c r="H11" s="46">
        <v>31.0</v>
      </c>
      <c r="I11" s="46">
        <v>42.0</v>
      </c>
      <c r="J11" s="46">
        <v>28.0</v>
      </c>
      <c r="K11" s="46">
        <v>29.0</v>
      </c>
      <c r="L11" s="46">
        <v>21.0</v>
      </c>
      <c r="M11" s="46">
        <v>21.0</v>
      </c>
      <c r="N11" s="32">
        <f t="shared" ref="N11:N12" si="2">SUM(B11:M11)</f>
        <v>327</v>
      </c>
      <c r="O11" s="47" t="s">
        <v>132</v>
      </c>
    </row>
    <row r="12">
      <c r="A12" s="23" t="s">
        <v>136</v>
      </c>
      <c r="B12" s="46">
        <v>18.0</v>
      </c>
      <c r="C12" s="46">
        <v>13.0</v>
      </c>
      <c r="D12" s="46">
        <v>11.0</v>
      </c>
      <c r="E12" s="46">
        <v>13.0</v>
      </c>
      <c r="F12" s="46">
        <v>6.0</v>
      </c>
      <c r="G12" s="46">
        <v>18.0</v>
      </c>
      <c r="H12" s="46">
        <v>9.0</v>
      </c>
      <c r="I12" s="46">
        <v>13.0</v>
      </c>
      <c r="J12" s="46">
        <v>15.0</v>
      </c>
      <c r="K12" s="46">
        <v>6.0</v>
      </c>
      <c r="L12" s="46">
        <v>7.0</v>
      </c>
      <c r="M12" s="46">
        <v>7.0</v>
      </c>
      <c r="N12" s="32">
        <f t="shared" si="2"/>
        <v>136</v>
      </c>
      <c r="O12" s="47" t="s">
        <v>132</v>
      </c>
    </row>
    <row r="13">
      <c r="A13" s="5" t="s">
        <v>137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>
      <c r="A14" s="23" t="s">
        <v>138</v>
      </c>
      <c r="B14" s="46">
        <v>15.0</v>
      </c>
      <c r="C14" s="46">
        <v>12.0</v>
      </c>
      <c r="D14" s="46">
        <v>8.0</v>
      </c>
      <c r="E14" s="46">
        <v>12.0</v>
      </c>
      <c r="F14" s="46">
        <v>4.0</v>
      </c>
      <c r="G14" s="46">
        <v>14.0</v>
      </c>
      <c r="H14" s="46">
        <v>5.0</v>
      </c>
      <c r="I14" s="46">
        <v>11.0</v>
      </c>
      <c r="J14" s="46">
        <v>11.0</v>
      </c>
      <c r="K14" s="46">
        <v>5.0</v>
      </c>
      <c r="L14" s="46">
        <v>5.0</v>
      </c>
      <c r="M14" s="46">
        <v>6.0</v>
      </c>
      <c r="N14" s="32">
        <f t="shared" ref="N14:N16" si="3">SUM(B14:M14)</f>
        <v>108</v>
      </c>
      <c r="O14" s="47" t="s">
        <v>132</v>
      </c>
    </row>
    <row r="15">
      <c r="A15" s="23" t="s">
        <v>139</v>
      </c>
      <c r="B15" s="46">
        <v>3.0</v>
      </c>
      <c r="C15" s="46">
        <v>2.0</v>
      </c>
      <c r="D15" s="46"/>
      <c r="E15" s="46">
        <v>1.0</v>
      </c>
      <c r="F15" s="46"/>
      <c r="G15" s="46">
        <v>5.0</v>
      </c>
      <c r="H15" s="46">
        <v>2.0</v>
      </c>
      <c r="I15" s="46">
        <v>1.0</v>
      </c>
      <c r="J15" s="46"/>
      <c r="K15" s="46">
        <v>1.0</v>
      </c>
      <c r="L15" s="46"/>
      <c r="M15" s="46">
        <v>1.0</v>
      </c>
      <c r="N15" s="32">
        <f t="shared" si="3"/>
        <v>16</v>
      </c>
      <c r="O15" s="32">
        <f>'Goals &amp; Setup'!C27*12</f>
        <v>27.77777778</v>
      </c>
    </row>
    <row r="16">
      <c r="A16" s="23" t="s">
        <v>140</v>
      </c>
      <c r="B16" s="27">
        <v>110000.0</v>
      </c>
      <c r="C16" s="27">
        <v>145500.0</v>
      </c>
      <c r="D16" s="27"/>
      <c r="E16" s="27"/>
      <c r="F16" s="27"/>
      <c r="G16" s="27">
        <v>137125.0</v>
      </c>
      <c r="H16" s="27">
        <v>30000.0</v>
      </c>
      <c r="I16" s="27"/>
      <c r="J16" s="27"/>
      <c r="K16" s="27">
        <v>28000.0</v>
      </c>
      <c r="L16" s="27"/>
      <c r="M16" s="27">
        <v>44000.0</v>
      </c>
      <c r="N16" s="48">
        <f t="shared" si="3"/>
        <v>494625</v>
      </c>
      <c r="O16" s="48">
        <f>'Goals &amp; Setup'!B8</f>
        <v>500000</v>
      </c>
    </row>
    <row r="17">
      <c r="A17" s="5" t="s">
        <v>141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>
      <c r="A18" s="23" t="s">
        <v>142</v>
      </c>
      <c r="B18" s="46">
        <v>1.0</v>
      </c>
      <c r="C18" s="46">
        <v>1.0</v>
      </c>
      <c r="D18" s="46">
        <v>2.0</v>
      </c>
      <c r="E18" s="46">
        <v>1.0</v>
      </c>
      <c r="F18" s="46"/>
      <c r="G18" s="46"/>
      <c r="H18" s="46">
        <v>1.0</v>
      </c>
      <c r="I18" s="46">
        <v>2.0</v>
      </c>
      <c r="J18" s="46">
        <v>1.0</v>
      </c>
      <c r="K18" s="46">
        <v>1.0</v>
      </c>
      <c r="L18" s="46">
        <v>1.0</v>
      </c>
      <c r="M18" s="46">
        <v>1.0</v>
      </c>
      <c r="N18" s="32">
        <f t="shared" ref="N18:N19" si="4">SUM(B18:M18)</f>
        <v>12</v>
      </c>
      <c r="O18" s="32">
        <f>'Goals &amp; Setup'!C26*12</f>
        <v>25</v>
      </c>
    </row>
    <row r="19">
      <c r="A19" s="23" t="s">
        <v>143</v>
      </c>
      <c r="B19" s="27">
        <v>10000.0</v>
      </c>
      <c r="C19" s="27">
        <v>24000.0</v>
      </c>
      <c r="D19" s="27">
        <v>86000.0</v>
      </c>
      <c r="E19" s="27">
        <v>35500.0</v>
      </c>
      <c r="F19" s="27"/>
      <c r="G19" s="27"/>
      <c r="H19" s="27">
        <v>125000.0</v>
      </c>
      <c r="I19" s="27">
        <v>111125.0</v>
      </c>
      <c r="J19" s="27">
        <v>15000.0</v>
      </c>
      <c r="K19" s="27">
        <v>-19000.0</v>
      </c>
      <c r="L19" s="27">
        <v>28000.0</v>
      </c>
      <c r="M19" s="27"/>
      <c r="N19" s="48">
        <f t="shared" si="4"/>
        <v>415625</v>
      </c>
      <c r="O19" s="48">
        <f>'Goals &amp; Setup'!B8</f>
        <v>500000</v>
      </c>
    </row>
    <row r="20">
      <c r="A20" s="5" t="s">
        <v>144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</row>
    <row r="21" ht="15.75" customHeight="1">
      <c r="A21" s="23" t="s">
        <v>145</v>
      </c>
      <c r="B21" s="27">
        <v>259.0</v>
      </c>
      <c r="C21" s="27">
        <v>194.0</v>
      </c>
      <c r="D21" s="27">
        <v>176.0</v>
      </c>
      <c r="E21" s="27">
        <v>138.0</v>
      </c>
      <c r="F21" s="27">
        <v>151.0</v>
      </c>
      <c r="G21" s="27">
        <v>195.0</v>
      </c>
      <c r="H21" s="27">
        <v>302.0</v>
      </c>
      <c r="I21" s="27">
        <v>217.0</v>
      </c>
      <c r="J21" s="27">
        <v>183.0</v>
      </c>
      <c r="K21" s="27">
        <v>201.0</v>
      </c>
      <c r="L21" s="27">
        <v>212.0</v>
      </c>
      <c r="M21" s="27">
        <v>210.0</v>
      </c>
      <c r="N21" s="48">
        <f t="shared" ref="N21:N26" si="5">SUM(B21:M21)</f>
        <v>2438</v>
      </c>
      <c r="O21" s="47" t="s">
        <v>132</v>
      </c>
    </row>
    <row r="22" ht="15.75" customHeight="1">
      <c r="A22" s="8" t="s">
        <v>146</v>
      </c>
      <c r="B22" s="49">
        <v>815.0</v>
      </c>
      <c r="C22" s="49">
        <v>610.0</v>
      </c>
      <c r="D22" s="49">
        <v>552.0</v>
      </c>
      <c r="E22" s="49">
        <v>435.0</v>
      </c>
      <c r="F22" s="49">
        <v>474.0</v>
      </c>
      <c r="G22" s="49">
        <v>614.0</v>
      </c>
      <c r="H22" s="49">
        <v>949.0</v>
      </c>
      <c r="I22" s="49">
        <v>682.0</v>
      </c>
      <c r="J22" s="49">
        <v>576.0</v>
      </c>
      <c r="K22" s="49">
        <v>633.0</v>
      </c>
      <c r="L22" s="49">
        <v>666.0</v>
      </c>
      <c r="M22" s="49">
        <v>660.0</v>
      </c>
      <c r="N22" s="50">
        <f t="shared" si="5"/>
        <v>7666</v>
      </c>
    </row>
    <row r="23" ht="15.75" customHeight="1">
      <c r="A23" s="8" t="s">
        <v>147</v>
      </c>
      <c r="B23" s="49">
        <v>1667.0</v>
      </c>
      <c r="C23" s="49">
        <v>1248.0</v>
      </c>
      <c r="D23" s="49">
        <v>1129.0</v>
      </c>
      <c r="E23" s="49">
        <v>890.0</v>
      </c>
      <c r="F23" s="49">
        <v>970.0</v>
      </c>
      <c r="G23" s="49">
        <v>1256.0</v>
      </c>
      <c r="H23" s="49">
        <v>1940.0</v>
      </c>
      <c r="I23" s="49">
        <v>1394.0</v>
      </c>
      <c r="J23" s="49">
        <v>1178.0</v>
      </c>
      <c r="K23" s="49">
        <v>1295.0</v>
      </c>
      <c r="L23" s="49">
        <v>1363.0</v>
      </c>
      <c r="M23" s="49">
        <v>1350.0</v>
      </c>
      <c r="N23" s="50">
        <f t="shared" si="5"/>
        <v>15680</v>
      </c>
    </row>
    <row r="24" ht="15.75" customHeight="1">
      <c r="A24" s="8" t="s">
        <v>148</v>
      </c>
      <c r="B24" s="49">
        <v>741.0</v>
      </c>
      <c r="C24" s="49">
        <v>555.0</v>
      </c>
      <c r="D24" s="49">
        <v>502.0</v>
      </c>
      <c r="E24" s="49">
        <v>396.0</v>
      </c>
      <c r="F24" s="49">
        <v>431.0</v>
      </c>
      <c r="G24" s="49">
        <v>558.0</v>
      </c>
      <c r="H24" s="49">
        <v>862.0</v>
      </c>
      <c r="I24" s="49">
        <v>620.0</v>
      </c>
      <c r="J24" s="49">
        <v>524.0</v>
      </c>
      <c r="K24" s="49">
        <v>575.0</v>
      </c>
      <c r="L24" s="49">
        <v>606.0</v>
      </c>
      <c r="M24" s="49">
        <v>600.0</v>
      </c>
      <c r="N24" s="50">
        <f t="shared" si="5"/>
        <v>6970</v>
      </c>
    </row>
    <row r="25" ht="15.75" customHeight="1">
      <c r="A25" s="8" t="s">
        <v>149</v>
      </c>
      <c r="B25" s="49">
        <v>222.0</v>
      </c>
      <c r="C25" s="49">
        <v>166.0</v>
      </c>
      <c r="D25" s="49">
        <v>150.0</v>
      </c>
      <c r="E25" s="49">
        <v>119.0</v>
      </c>
      <c r="F25" s="49">
        <v>129.0</v>
      </c>
      <c r="G25" s="49">
        <v>167.0</v>
      </c>
      <c r="H25" s="49">
        <v>259.0</v>
      </c>
      <c r="I25" s="49">
        <v>186.0</v>
      </c>
      <c r="J25" s="49">
        <v>157.0</v>
      </c>
      <c r="K25" s="49">
        <v>173.0</v>
      </c>
      <c r="L25" s="49">
        <v>182.0</v>
      </c>
      <c r="M25" s="49">
        <v>180.0</v>
      </c>
      <c r="N25" s="50">
        <f t="shared" si="5"/>
        <v>2090</v>
      </c>
    </row>
    <row r="26" ht="15.75" customHeight="1">
      <c r="A26" s="7" t="s">
        <v>150</v>
      </c>
      <c r="B26" s="51">
        <f t="shared" ref="B26:M26" si="6">SUM(B21:B25)</f>
        <v>3704</v>
      </c>
      <c r="C26" s="51">
        <f t="shared" si="6"/>
        <v>2773</v>
      </c>
      <c r="D26" s="51">
        <f t="shared" si="6"/>
        <v>2509</v>
      </c>
      <c r="E26" s="51">
        <f t="shared" si="6"/>
        <v>1978</v>
      </c>
      <c r="F26" s="51">
        <f t="shared" si="6"/>
        <v>2155</v>
      </c>
      <c r="G26" s="51">
        <f t="shared" si="6"/>
        <v>2790</v>
      </c>
      <c r="H26" s="51">
        <f t="shared" si="6"/>
        <v>4312</v>
      </c>
      <c r="I26" s="51">
        <f t="shared" si="6"/>
        <v>3099</v>
      </c>
      <c r="J26" s="51">
        <f t="shared" si="6"/>
        <v>2618</v>
      </c>
      <c r="K26" s="51">
        <f t="shared" si="6"/>
        <v>2877</v>
      </c>
      <c r="L26" s="51">
        <f t="shared" si="6"/>
        <v>3029</v>
      </c>
      <c r="M26" s="51">
        <f t="shared" si="6"/>
        <v>3000</v>
      </c>
      <c r="N26" s="51">
        <f t="shared" si="5"/>
        <v>34844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3:O3"/>
    <mergeCell ref="A6:O6"/>
    <mergeCell ref="A10:O10"/>
    <mergeCell ref="A13:O13"/>
    <mergeCell ref="A17:O17"/>
    <mergeCell ref="A20:O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4.0"/>
    <col customWidth="1" min="3" max="3" width="20.43"/>
    <col customWidth="1" min="4" max="6" width="12.0"/>
  </cols>
  <sheetData>
    <row r="1" ht="39.75" customHeight="1">
      <c r="A1" s="1" t="s">
        <v>151</v>
      </c>
      <c r="B1" s="2"/>
      <c r="C1" s="2"/>
      <c r="D1" s="2"/>
      <c r="E1" s="2"/>
      <c r="F1" s="3"/>
    </row>
    <row r="3">
      <c r="A3" s="5" t="s">
        <v>152</v>
      </c>
      <c r="B3" s="2"/>
      <c r="C3" s="2"/>
      <c r="D3" s="2"/>
      <c r="E3" s="2"/>
      <c r="F3" s="3"/>
    </row>
    <row r="4">
      <c r="A4" s="44" t="s">
        <v>83</v>
      </c>
      <c r="B4" s="44" t="s">
        <v>153</v>
      </c>
      <c r="C4" s="44" t="s">
        <v>154</v>
      </c>
      <c r="D4" s="44" t="s">
        <v>155</v>
      </c>
      <c r="E4" s="44" t="s">
        <v>156</v>
      </c>
      <c r="F4" s="44" t="s">
        <v>157</v>
      </c>
    </row>
    <row r="5">
      <c r="A5" s="23" t="s">
        <v>143</v>
      </c>
      <c r="B5" s="48">
        <f>'Monthly Data'!N19</f>
        <v>415625</v>
      </c>
      <c r="C5" s="48">
        <f>'Goals &amp; Setup'!B8</f>
        <v>500000</v>
      </c>
      <c r="D5" s="52">
        <f t="shared" ref="D5:D9" si="1">IFERROR(B5/C5,0)</f>
        <v>0.83125</v>
      </c>
      <c r="E5" s="53" t="str">
        <f t="shared" ref="E5:E9" si="2">IF(D5&gt;=0.9,"✅ On Track",IF(D5&gt;=0.7,"⚠️ Behind","❌ At Risk"))</f>
        <v>⚠️ Behind</v>
      </c>
      <c r="F5" s="48">
        <f t="shared" ref="F5:F9" si="3">C5-B5</f>
        <v>84375</v>
      </c>
    </row>
    <row r="6">
      <c r="A6" s="23" t="s">
        <v>142</v>
      </c>
      <c r="B6" s="32">
        <f>'Monthly Data'!N18</f>
        <v>12</v>
      </c>
      <c r="C6" s="32">
        <f>'Goals &amp; Setup'!B26</f>
        <v>25</v>
      </c>
      <c r="D6" s="52">
        <f t="shared" si="1"/>
        <v>0.48</v>
      </c>
      <c r="E6" s="53" t="str">
        <f t="shared" si="2"/>
        <v>❌ At Risk</v>
      </c>
      <c r="F6" s="32">
        <f t="shared" si="3"/>
        <v>13</v>
      </c>
    </row>
    <row r="7">
      <c r="A7" s="23" t="s">
        <v>139</v>
      </c>
      <c r="B7" s="32">
        <f>'Monthly Data'!N15</f>
        <v>16</v>
      </c>
      <c r="C7" s="32">
        <f>'Goals &amp; Setup'!B27</f>
        <v>27.77777778</v>
      </c>
      <c r="D7" s="52">
        <f t="shared" si="1"/>
        <v>0.576</v>
      </c>
      <c r="E7" s="53" t="str">
        <f t="shared" si="2"/>
        <v>❌ At Risk</v>
      </c>
      <c r="F7" s="32">
        <f t="shared" si="3"/>
        <v>11.77777778</v>
      </c>
    </row>
    <row r="8">
      <c r="A8" s="23" t="s">
        <v>133</v>
      </c>
      <c r="B8" s="32">
        <f>'Monthly Data'!N9</f>
        <v>870</v>
      </c>
      <c r="C8" s="32">
        <f>'Goals &amp; Setup'!B29</f>
        <v>833.3333333</v>
      </c>
      <c r="D8" s="52">
        <f t="shared" si="1"/>
        <v>1.044</v>
      </c>
      <c r="E8" s="53" t="str">
        <f t="shared" si="2"/>
        <v>✅ On Track</v>
      </c>
      <c r="F8" s="32">
        <f t="shared" si="3"/>
        <v>-36.66666667</v>
      </c>
    </row>
    <row r="9">
      <c r="A9" s="23" t="s">
        <v>158</v>
      </c>
      <c r="B9" s="32">
        <f>'Monthly Data'!N7</f>
        <v>67421</v>
      </c>
      <c r="C9" s="32">
        <f>'Goals &amp; Setup'!B30</f>
        <v>41666.66667</v>
      </c>
      <c r="D9" s="52">
        <f t="shared" si="1"/>
        <v>1.618104</v>
      </c>
      <c r="E9" s="53" t="str">
        <f t="shared" si="2"/>
        <v>✅ On Track</v>
      </c>
      <c r="F9" s="32">
        <f t="shared" si="3"/>
        <v>-25754.33333</v>
      </c>
    </row>
    <row r="11">
      <c r="A11" s="5" t="s">
        <v>159</v>
      </c>
      <c r="B11" s="2"/>
      <c r="C11" s="2"/>
      <c r="D11" s="3"/>
    </row>
    <row r="12">
      <c r="A12" s="44" t="s">
        <v>67</v>
      </c>
      <c r="B12" s="44" t="s">
        <v>53</v>
      </c>
      <c r="C12" s="44" t="s">
        <v>154</v>
      </c>
      <c r="D12" s="44" t="s">
        <v>156</v>
      </c>
    </row>
    <row r="13">
      <c r="A13" s="23" t="s">
        <v>70</v>
      </c>
      <c r="B13" s="33">
        <f>IFERROR('Monthly Data'!N7/'Monthly Data'!N9,0)</f>
        <v>77.4954023</v>
      </c>
      <c r="C13" s="54">
        <f>'Goals &amp; Setup'!B17</f>
        <v>50</v>
      </c>
      <c r="D13" s="53" t="str">
        <f t="shared" ref="D13:D15" si="4">IF(B13&lt;=C13,"✅ Good","⚠️ High")</f>
        <v>⚠️ High</v>
      </c>
    </row>
    <row r="14">
      <c r="A14" s="23" t="s">
        <v>74</v>
      </c>
      <c r="B14" s="33">
        <f>IFERROR('Monthly Data'!N9/'Monthly Data'!N15,0)</f>
        <v>54.375</v>
      </c>
      <c r="C14" s="54">
        <f>'Goals &amp; Setup'!B18</f>
        <v>30</v>
      </c>
      <c r="D14" s="53" t="str">
        <f t="shared" si="4"/>
        <v>⚠️ High</v>
      </c>
    </row>
    <row r="15">
      <c r="A15" s="23" t="s">
        <v>78</v>
      </c>
      <c r="B15" s="33">
        <f>IFERROR('Monthly Data'!N14/'Monthly Data'!N15,0)</f>
        <v>6.75</v>
      </c>
      <c r="C15" s="54">
        <f>'Goals &amp; Setup'!B19</f>
        <v>6</v>
      </c>
      <c r="D15" s="53" t="str">
        <f t="shared" si="4"/>
        <v>⚠️ High</v>
      </c>
    </row>
    <row r="16">
      <c r="A16" s="23" t="s">
        <v>62</v>
      </c>
      <c r="B16" s="52">
        <f>IFERROR('Monthly Data'!N18/'Monthly Data'!N15,0)</f>
        <v>0.75</v>
      </c>
      <c r="C16" s="55">
        <f>'Goals &amp; Setup'!B10</f>
        <v>0.9</v>
      </c>
      <c r="D16" s="53" t="str">
        <f>IF(B16&gt;=C16,"✅ Good","⚠️ Low")</f>
        <v>⚠️ Low</v>
      </c>
    </row>
    <row r="17">
      <c r="A17" s="23" t="s">
        <v>160</v>
      </c>
      <c r="B17" s="48">
        <f>IFERROR('Monthly Data'!N26/'Monthly Data'!N9,0)</f>
        <v>40.05057471</v>
      </c>
      <c r="C17" s="56" t="s">
        <v>161</v>
      </c>
      <c r="D17" s="53" t="str">
        <f>IF(B17&lt;=C17,"✅ Good","⚠️ High")</f>
        <v>✅ Good</v>
      </c>
    </row>
    <row r="18">
      <c r="A18" s="23" t="s">
        <v>162</v>
      </c>
      <c r="B18" s="33">
        <f>IFERROR('Monthly Data'!N19/'Monthly Data'!N26,0)</f>
        <v>11.92816554</v>
      </c>
      <c r="C18" s="54" t="s">
        <v>163</v>
      </c>
      <c r="D18" s="53" t="str">
        <f>IF(B18&gt;=C18,"✅ Good","⚠️ Low")</f>
        <v>⚠️ Low</v>
      </c>
    </row>
    <row r="20">
      <c r="A20" s="5" t="s">
        <v>164</v>
      </c>
      <c r="B20" s="2"/>
      <c r="C20" s="3"/>
    </row>
    <row r="21" ht="15.75" customHeight="1">
      <c r="A21" s="44" t="s">
        <v>83</v>
      </c>
      <c r="B21" s="44" t="s">
        <v>165</v>
      </c>
      <c r="C21" s="44" t="s">
        <v>166</v>
      </c>
    </row>
    <row r="22" ht="15.75" customHeight="1">
      <c r="A22" s="23" t="s">
        <v>167</v>
      </c>
      <c r="B22" s="48">
        <f>'Monthly Data'!N19</f>
        <v>415625</v>
      </c>
      <c r="C22" s="26" t="s">
        <v>168</v>
      </c>
    </row>
    <row r="23" ht="15.75" customHeight="1">
      <c r="A23" s="23" t="s">
        <v>169</v>
      </c>
      <c r="B23" s="48">
        <f>'Monthly Data'!N16</f>
        <v>494625</v>
      </c>
      <c r="C23" s="26" t="s">
        <v>170</v>
      </c>
    </row>
    <row r="24" ht="15.75" customHeight="1">
      <c r="A24" s="23" t="s">
        <v>150</v>
      </c>
      <c r="B24" s="48">
        <f>'Monthly Data'!N26</f>
        <v>34844</v>
      </c>
      <c r="C24" s="26" t="s">
        <v>171</v>
      </c>
    </row>
    <row r="25" ht="15.75" customHeight="1">
      <c r="A25" s="23" t="s">
        <v>172</v>
      </c>
      <c r="B25" s="48">
        <f>'Monthly Data'!N19-'Monthly Data'!N26</f>
        <v>380781</v>
      </c>
      <c r="C25" s="26" t="s">
        <v>173</v>
      </c>
    </row>
    <row r="26" ht="15.75" customHeight="1">
      <c r="A26" s="23" t="s">
        <v>174</v>
      </c>
      <c r="B26" s="57">
        <f>IFERROR('Monthly Data'!N19/'Monthly Data'!N26,0)</f>
        <v>11.92816554</v>
      </c>
      <c r="C26" s="26" t="s">
        <v>175</v>
      </c>
    </row>
    <row r="27" ht="15.75" customHeight="1"/>
    <row r="28" ht="15.75" customHeight="1">
      <c r="A28" s="58" t="s">
        <v>176</v>
      </c>
      <c r="B28" s="59"/>
      <c r="C28" s="59"/>
      <c r="D28" s="59"/>
      <c r="E28" s="59"/>
      <c r="F28" s="59"/>
    </row>
    <row r="29" ht="15.75" customHeight="1">
      <c r="A29" s="39" t="s">
        <v>83</v>
      </c>
      <c r="B29" s="39" t="s">
        <v>165</v>
      </c>
      <c r="C29" s="39" t="s">
        <v>166</v>
      </c>
    </row>
    <row r="30" ht="15.75" customHeight="1">
      <c r="A30" s="40" t="s">
        <v>167</v>
      </c>
      <c r="B30" s="60">
        <f>'Monthly Data'!N19</f>
        <v>415625</v>
      </c>
      <c r="C30" s="8" t="s">
        <v>177</v>
      </c>
    </row>
    <row r="31" ht="15.75" customHeight="1">
      <c r="A31" s="40" t="s">
        <v>178</v>
      </c>
      <c r="B31" s="60">
        <f>Expenses!C13</f>
        <v>69600</v>
      </c>
      <c r="C31" s="8" t="s">
        <v>179</v>
      </c>
    </row>
    <row r="32" ht="15.75" customHeight="1">
      <c r="A32" s="40" t="s">
        <v>180</v>
      </c>
      <c r="B32" s="60">
        <f>Expenses!C25</f>
        <v>13410</v>
      </c>
      <c r="C32" s="8" t="s">
        <v>181</v>
      </c>
    </row>
    <row r="33" ht="15.75" customHeight="1">
      <c r="A33" s="40" t="s">
        <v>150</v>
      </c>
      <c r="B33" s="60">
        <f>'Monthly Data'!N26</f>
        <v>34844</v>
      </c>
      <c r="C33" s="8" t="s">
        <v>182</v>
      </c>
    </row>
    <row r="34" ht="15.75" customHeight="1">
      <c r="A34" s="40" t="s">
        <v>183</v>
      </c>
      <c r="B34" s="61">
        <f>Expenses!C39</f>
        <v>92610</v>
      </c>
      <c r="C34" s="8" t="s">
        <v>184</v>
      </c>
    </row>
    <row r="35" ht="15.75" customHeight="1">
      <c r="A35" s="62" t="s">
        <v>185</v>
      </c>
      <c r="B35" s="61">
        <f>'Monthly Data'!N19-Expenses!C39</f>
        <v>323015</v>
      </c>
      <c r="C35" s="8" t="s">
        <v>186</v>
      </c>
    </row>
    <row r="36" ht="15.75" customHeight="1">
      <c r="A36" s="62" t="s">
        <v>187</v>
      </c>
      <c r="B36" s="63">
        <f>IFERROR(B35/B30,0)</f>
        <v>0.7771789474</v>
      </c>
      <c r="C36" s="8" t="s">
        <v>188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F3"/>
    <mergeCell ref="A11:D11"/>
    <mergeCell ref="A20:C2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2.0"/>
    <col customWidth="1" min="4" max="8" width="10.0"/>
    <col customWidth="1" min="9" max="9" width="12.0"/>
  </cols>
  <sheetData>
    <row r="1" ht="39.75" customHeight="1">
      <c r="A1" s="64" t="s">
        <v>189</v>
      </c>
      <c r="B1" s="2"/>
      <c r="C1" s="2"/>
      <c r="D1" s="2"/>
      <c r="E1" s="2"/>
      <c r="F1" s="2"/>
      <c r="G1" s="2"/>
      <c r="H1" s="2"/>
      <c r="I1" s="3"/>
    </row>
    <row r="3">
      <c r="A3" s="43" t="s">
        <v>190</v>
      </c>
      <c r="B3" s="2"/>
      <c r="C3" s="2"/>
      <c r="D3" s="2"/>
      <c r="E3" s="2"/>
      <c r="F3" s="2"/>
      <c r="G3" s="2"/>
      <c r="H3" s="2"/>
      <c r="I3" s="3"/>
    </row>
    <row r="5">
      <c r="A5" s="65" t="s">
        <v>191</v>
      </c>
      <c r="B5" s="66"/>
      <c r="C5" s="66"/>
      <c r="D5" s="66"/>
      <c r="E5" s="66"/>
      <c r="F5" s="66"/>
      <c r="G5" s="66"/>
      <c r="H5" s="66"/>
      <c r="I5" s="67"/>
    </row>
    <row r="6">
      <c r="A6" s="68" t="s">
        <v>192</v>
      </c>
      <c r="B6" s="68" t="s">
        <v>193</v>
      </c>
      <c r="C6" s="68" t="s">
        <v>194</v>
      </c>
      <c r="D6" s="68" t="s">
        <v>195</v>
      </c>
      <c r="E6" s="68" t="s">
        <v>196</v>
      </c>
      <c r="F6" s="68" t="s">
        <v>197</v>
      </c>
      <c r="G6" s="68" t="s">
        <v>198</v>
      </c>
      <c r="H6" s="68" t="s">
        <v>199</v>
      </c>
      <c r="I6" s="68" t="s">
        <v>200</v>
      </c>
    </row>
    <row r="7">
      <c r="A7" s="69" t="s">
        <v>201</v>
      </c>
      <c r="B7" s="70">
        <v>46385.0</v>
      </c>
      <c r="C7" s="71" t="s">
        <v>202</v>
      </c>
      <c r="D7" s="72">
        <v>2.0</v>
      </c>
      <c r="E7" s="72">
        <v>140.0</v>
      </c>
      <c r="F7" s="72">
        <v>3.0</v>
      </c>
      <c r="G7" s="72">
        <v>1.0</v>
      </c>
      <c r="H7" s="72"/>
      <c r="I7" s="72"/>
    </row>
    <row r="8">
      <c r="A8" s="69" t="s">
        <v>203</v>
      </c>
      <c r="B8" s="70">
        <v>46386.0</v>
      </c>
      <c r="C8" s="71" t="s">
        <v>202</v>
      </c>
      <c r="D8" s="72">
        <v>2.0</v>
      </c>
      <c r="E8" s="72">
        <v>140.0</v>
      </c>
      <c r="F8" s="72">
        <v>4.0</v>
      </c>
      <c r="G8" s="72">
        <v>10.0</v>
      </c>
      <c r="H8" s="72"/>
      <c r="I8" s="72"/>
    </row>
    <row r="9">
      <c r="A9" s="69" t="s">
        <v>204</v>
      </c>
      <c r="B9" s="70">
        <v>46387.0</v>
      </c>
      <c r="C9" s="71" t="s">
        <v>202</v>
      </c>
      <c r="D9" s="72">
        <v>3.0</v>
      </c>
      <c r="E9" s="72">
        <v>140.0</v>
      </c>
      <c r="F9" s="72">
        <v>2.0</v>
      </c>
      <c r="G9" s="72">
        <v>1.0</v>
      </c>
      <c r="H9" s="72"/>
      <c r="I9" s="72"/>
    </row>
    <row r="10">
      <c r="A10" s="69" t="s">
        <v>205</v>
      </c>
      <c r="B10" s="73">
        <v>46023.0</v>
      </c>
      <c r="C10" s="71" t="s">
        <v>202</v>
      </c>
      <c r="D10" s="72">
        <v>3.0</v>
      </c>
      <c r="E10" s="72">
        <v>140.0</v>
      </c>
      <c r="F10" s="72">
        <v>3.0</v>
      </c>
      <c r="G10" s="72">
        <v>1.0</v>
      </c>
      <c r="H10" s="72"/>
      <c r="I10" s="72"/>
    </row>
    <row r="11">
      <c r="A11" s="69" t="s">
        <v>206</v>
      </c>
      <c r="B11" s="73">
        <v>46024.0</v>
      </c>
      <c r="C11" s="71" t="s">
        <v>202</v>
      </c>
      <c r="D11" s="72">
        <v>2.0</v>
      </c>
      <c r="E11" s="72">
        <v>140.0</v>
      </c>
      <c r="F11" s="72">
        <v>5.0</v>
      </c>
      <c r="G11" s="72">
        <v>2.0</v>
      </c>
      <c r="H11" s="72"/>
      <c r="I11" s="72"/>
    </row>
    <row r="12">
      <c r="A12" s="74" t="s">
        <v>207</v>
      </c>
      <c r="B12" s="74" t="s">
        <v>208</v>
      </c>
      <c r="C12" s="75"/>
      <c r="D12" s="76"/>
      <c r="E12" s="76"/>
      <c r="F12" s="76"/>
      <c r="G12" s="76"/>
      <c r="H12" s="76"/>
      <c r="I12" s="76"/>
    </row>
    <row r="13">
      <c r="A13" s="74" t="s">
        <v>209</v>
      </c>
      <c r="B13" s="74" t="s">
        <v>210</v>
      </c>
      <c r="C13" s="75"/>
      <c r="D13" s="76"/>
      <c r="E13" s="76"/>
      <c r="F13" s="76"/>
      <c r="G13" s="76"/>
      <c r="H13" s="76"/>
      <c r="I13" s="76"/>
    </row>
    <row r="14">
      <c r="A14" s="77" t="s">
        <v>211</v>
      </c>
      <c r="B14" s="11"/>
      <c r="C14" s="11"/>
      <c r="D14" s="78">
        <f t="shared" ref="D14:I14" si="1">SUM(D7:D13)</f>
        <v>12</v>
      </c>
      <c r="E14" s="78">
        <f t="shared" si="1"/>
        <v>700</v>
      </c>
      <c r="F14" s="78">
        <f t="shared" si="1"/>
        <v>17</v>
      </c>
      <c r="G14" s="78">
        <f t="shared" si="1"/>
        <v>15</v>
      </c>
      <c r="H14" s="78">
        <f t="shared" si="1"/>
        <v>0</v>
      </c>
      <c r="I14" s="78">
        <f t="shared" si="1"/>
        <v>0</v>
      </c>
    </row>
    <row r="16">
      <c r="A16" s="65" t="s">
        <v>212</v>
      </c>
      <c r="B16" s="66"/>
      <c r="C16" s="66"/>
      <c r="D16" s="66"/>
      <c r="E16" s="66"/>
      <c r="F16" s="66"/>
      <c r="G16" s="66"/>
      <c r="H16" s="66"/>
      <c r="I16" s="67"/>
    </row>
    <row r="17">
      <c r="A17" s="68" t="s">
        <v>192</v>
      </c>
      <c r="B17" s="68" t="s">
        <v>193</v>
      </c>
      <c r="C17" s="68" t="s">
        <v>194</v>
      </c>
      <c r="D17" s="68" t="s">
        <v>195</v>
      </c>
      <c r="E17" s="68" t="s">
        <v>196</v>
      </c>
      <c r="F17" s="68" t="s">
        <v>197</v>
      </c>
      <c r="G17" s="68" t="s">
        <v>198</v>
      </c>
      <c r="H17" s="68" t="s">
        <v>199</v>
      </c>
      <c r="I17" s="68" t="s">
        <v>200</v>
      </c>
    </row>
    <row r="18">
      <c r="A18" s="69" t="s">
        <v>201</v>
      </c>
      <c r="B18" s="69" t="s">
        <v>213</v>
      </c>
      <c r="C18" s="71" t="s">
        <v>214</v>
      </c>
      <c r="D18" s="72">
        <v>3.0</v>
      </c>
      <c r="E18" s="72">
        <v>180.0</v>
      </c>
      <c r="F18" s="72">
        <v>5.0</v>
      </c>
      <c r="G18" s="72">
        <v>3.0</v>
      </c>
      <c r="H18" s="72">
        <v>1.0</v>
      </c>
      <c r="I18" s="72">
        <v>0.0</v>
      </c>
    </row>
    <row r="19">
      <c r="A19" s="69" t="s">
        <v>203</v>
      </c>
      <c r="B19" s="69" t="s">
        <v>215</v>
      </c>
      <c r="C19" s="71" t="s">
        <v>214</v>
      </c>
      <c r="D19" s="72">
        <v>2.5</v>
      </c>
      <c r="E19" s="72">
        <v>160.0</v>
      </c>
      <c r="F19" s="72">
        <v>4.0</v>
      </c>
      <c r="G19" s="72">
        <v>2.0</v>
      </c>
      <c r="H19" s="72">
        <v>0.0</v>
      </c>
      <c r="I19" s="72">
        <v>0.0</v>
      </c>
    </row>
    <row r="20">
      <c r="A20" s="69" t="s">
        <v>204</v>
      </c>
      <c r="B20" s="69" t="s">
        <v>216</v>
      </c>
      <c r="C20" s="71" t="s">
        <v>214</v>
      </c>
      <c r="D20" s="72">
        <v>3.0</v>
      </c>
      <c r="E20" s="72">
        <v>175.0</v>
      </c>
      <c r="F20" s="72">
        <v>6.0</v>
      </c>
      <c r="G20" s="72">
        <v>4.0</v>
      </c>
      <c r="H20" s="72">
        <v>1.0</v>
      </c>
      <c r="I20" s="72">
        <v>0.0</v>
      </c>
    </row>
    <row r="21" ht="15.75" customHeight="1">
      <c r="A21" s="69" t="s">
        <v>205</v>
      </c>
      <c r="B21" s="69" t="s">
        <v>217</v>
      </c>
      <c r="C21" s="71" t="s">
        <v>214</v>
      </c>
      <c r="D21" s="72">
        <v>2.0</v>
      </c>
      <c r="E21" s="72">
        <v>150.0</v>
      </c>
      <c r="F21" s="72">
        <v>3.0</v>
      </c>
      <c r="G21" s="72">
        <v>2.0</v>
      </c>
      <c r="H21" s="72">
        <v>0.0</v>
      </c>
      <c r="I21" s="72">
        <v>0.0</v>
      </c>
    </row>
    <row r="22" ht="15.75" customHeight="1">
      <c r="A22" s="69" t="s">
        <v>206</v>
      </c>
      <c r="B22" s="69" t="s">
        <v>218</v>
      </c>
      <c r="C22" s="71" t="s">
        <v>214</v>
      </c>
      <c r="D22" s="72">
        <v>3.0</v>
      </c>
      <c r="E22" s="72">
        <v>185.0</v>
      </c>
      <c r="F22" s="72">
        <v>5.0</v>
      </c>
      <c r="G22" s="72">
        <v>3.0</v>
      </c>
      <c r="H22" s="72">
        <v>1.0</v>
      </c>
      <c r="I22" s="72">
        <v>0.0</v>
      </c>
    </row>
    <row r="23" ht="15.75" customHeight="1">
      <c r="A23" s="74" t="s">
        <v>207</v>
      </c>
      <c r="B23" s="74" t="s">
        <v>219</v>
      </c>
      <c r="C23" s="75"/>
      <c r="D23" s="76"/>
      <c r="E23" s="76"/>
      <c r="F23" s="76"/>
      <c r="G23" s="76"/>
      <c r="H23" s="76"/>
      <c r="I23" s="76"/>
    </row>
    <row r="24" ht="15.75" customHeight="1">
      <c r="A24" s="74" t="s">
        <v>209</v>
      </c>
      <c r="B24" s="74" t="s">
        <v>220</v>
      </c>
      <c r="C24" s="75"/>
      <c r="D24" s="76"/>
      <c r="E24" s="76"/>
      <c r="F24" s="76"/>
      <c r="G24" s="76"/>
      <c r="H24" s="76"/>
      <c r="I24" s="76"/>
    </row>
    <row r="25" ht="15.75" customHeight="1">
      <c r="A25" s="77" t="s">
        <v>211</v>
      </c>
      <c r="B25" s="11"/>
      <c r="C25" s="11"/>
      <c r="D25" s="78">
        <f t="shared" ref="D25:I25" si="2">SUM(D18:D24)</f>
        <v>13.5</v>
      </c>
      <c r="E25" s="78">
        <f t="shared" si="2"/>
        <v>850</v>
      </c>
      <c r="F25" s="78">
        <f t="shared" si="2"/>
        <v>23</v>
      </c>
      <c r="G25" s="78">
        <f t="shared" si="2"/>
        <v>14</v>
      </c>
      <c r="H25" s="78">
        <f t="shared" si="2"/>
        <v>3</v>
      </c>
      <c r="I25" s="78">
        <f t="shared" si="2"/>
        <v>0</v>
      </c>
    </row>
    <row r="26" ht="15.75" customHeight="1"/>
    <row r="27" ht="15.75" customHeight="1">
      <c r="A27" s="65" t="s">
        <v>221</v>
      </c>
      <c r="B27" s="66"/>
      <c r="C27" s="66"/>
      <c r="D27" s="66"/>
      <c r="E27" s="66"/>
      <c r="F27" s="66"/>
      <c r="G27" s="66"/>
      <c r="H27" s="66"/>
      <c r="I27" s="67"/>
    </row>
    <row r="28" ht="15.75" customHeight="1">
      <c r="A28" s="68" t="s">
        <v>192</v>
      </c>
      <c r="B28" s="68" t="s">
        <v>193</v>
      </c>
      <c r="C28" s="68" t="s">
        <v>194</v>
      </c>
      <c r="D28" s="68" t="s">
        <v>195</v>
      </c>
      <c r="E28" s="68" t="s">
        <v>196</v>
      </c>
      <c r="F28" s="68" t="s">
        <v>197</v>
      </c>
      <c r="G28" s="68" t="s">
        <v>198</v>
      </c>
      <c r="H28" s="68" t="s">
        <v>199</v>
      </c>
      <c r="I28" s="68" t="s">
        <v>200</v>
      </c>
    </row>
    <row r="29" ht="15.75" customHeight="1">
      <c r="A29" s="69" t="s">
        <v>201</v>
      </c>
      <c r="B29" s="69" t="s">
        <v>222</v>
      </c>
      <c r="C29" s="71" t="s">
        <v>214</v>
      </c>
      <c r="D29" s="72">
        <v>3.0</v>
      </c>
      <c r="E29" s="72">
        <v>200.0</v>
      </c>
      <c r="F29" s="72">
        <v>6.0</v>
      </c>
      <c r="G29" s="72">
        <v>4.0</v>
      </c>
      <c r="H29" s="72">
        <v>1.0</v>
      </c>
      <c r="I29" s="72">
        <v>1.0</v>
      </c>
    </row>
    <row r="30" ht="15.75" customHeight="1">
      <c r="A30" s="69" t="s">
        <v>203</v>
      </c>
      <c r="B30" s="69" t="s">
        <v>223</v>
      </c>
      <c r="C30" s="71" t="s">
        <v>214</v>
      </c>
      <c r="D30" s="72">
        <v>3.0</v>
      </c>
      <c r="E30" s="72">
        <v>190.0</v>
      </c>
      <c r="F30" s="72">
        <v>5.0</v>
      </c>
      <c r="G30" s="72">
        <v>3.0</v>
      </c>
      <c r="H30" s="72">
        <v>1.0</v>
      </c>
      <c r="I30" s="72">
        <v>0.0</v>
      </c>
    </row>
    <row r="31" ht="15.75" customHeight="1">
      <c r="A31" s="69" t="s">
        <v>204</v>
      </c>
      <c r="B31" s="69" t="s">
        <v>224</v>
      </c>
      <c r="C31" s="71" t="s">
        <v>214</v>
      </c>
      <c r="D31" s="72">
        <v>2.5</v>
      </c>
      <c r="E31" s="72">
        <v>170.0</v>
      </c>
      <c r="F31" s="72">
        <v>4.0</v>
      </c>
      <c r="G31" s="72">
        <v>2.0</v>
      </c>
      <c r="H31" s="72">
        <v>0.0</v>
      </c>
      <c r="I31" s="72">
        <v>0.0</v>
      </c>
    </row>
    <row r="32" ht="15.75" customHeight="1">
      <c r="A32" s="69" t="s">
        <v>205</v>
      </c>
      <c r="B32" s="69" t="s">
        <v>225</v>
      </c>
      <c r="C32" s="71" t="s">
        <v>214</v>
      </c>
      <c r="D32" s="72">
        <v>3.0</v>
      </c>
      <c r="E32" s="72">
        <v>210.0</v>
      </c>
      <c r="F32" s="72">
        <v>7.0</v>
      </c>
      <c r="G32" s="72">
        <v>4.0</v>
      </c>
      <c r="H32" s="72">
        <v>2.0</v>
      </c>
      <c r="I32" s="72">
        <v>0.0</v>
      </c>
    </row>
    <row r="33" ht="15.75" customHeight="1">
      <c r="A33" s="69" t="s">
        <v>206</v>
      </c>
      <c r="B33" s="69" t="s">
        <v>226</v>
      </c>
      <c r="C33" s="71" t="s">
        <v>214</v>
      </c>
      <c r="D33" s="72">
        <v>2.5</v>
      </c>
      <c r="E33" s="72">
        <v>180.0</v>
      </c>
      <c r="F33" s="72">
        <v>5.0</v>
      </c>
      <c r="G33" s="72">
        <v>3.0</v>
      </c>
      <c r="H33" s="72">
        <v>1.0</v>
      </c>
      <c r="I33" s="72">
        <v>0.0</v>
      </c>
    </row>
    <row r="34" ht="15.75" customHeight="1">
      <c r="A34" s="74" t="s">
        <v>207</v>
      </c>
      <c r="B34" s="74" t="s">
        <v>227</v>
      </c>
      <c r="C34" s="75"/>
      <c r="D34" s="76"/>
      <c r="E34" s="76"/>
      <c r="F34" s="76"/>
      <c r="G34" s="76"/>
      <c r="H34" s="76"/>
      <c r="I34" s="76"/>
    </row>
    <row r="35" ht="15.75" customHeight="1">
      <c r="A35" s="74" t="s">
        <v>209</v>
      </c>
      <c r="B35" s="74" t="s">
        <v>228</v>
      </c>
      <c r="C35" s="75"/>
      <c r="D35" s="76"/>
      <c r="E35" s="76"/>
      <c r="F35" s="76"/>
      <c r="G35" s="76"/>
      <c r="H35" s="76"/>
      <c r="I35" s="76"/>
    </row>
    <row r="36" ht="15.75" customHeight="1">
      <c r="A36" s="77" t="s">
        <v>211</v>
      </c>
      <c r="B36" s="11"/>
      <c r="C36" s="11"/>
      <c r="D36" s="78">
        <f t="shared" ref="D36:I36" si="3">SUM(D29:D35)</f>
        <v>14</v>
      </c>
      <c r="E36" s="78">
        <f t="shared" si="3"/>
        <v>950</v>
      </c>
      <c r="F36" s="78">
        <f t="shared" si="3"/>
        <v>27</v>
      </c>
      <c r="G36" s="78">
        <f t="shared" si="3"/>
        <v>16</v>
      </c>
      <c r="H36" s="78">
        <f t="shared" si="3"/>
        <v>5</v>
      </c>
      <c r="I36" s="78">
        <f t="shared" si="3"/>
        <v>1</v>
      </c>
    </row>
    <row r="37" ht="15.75" customHeight="1"/>
    <row r="38" ht="15.75" customHeight="1">
      <c r="A38" s="65" t="s">
        <v>229</v>
      </c>
      <c r="B38" s="66"/>
      <c r="C38" s="66"/>
      <c r="D38" s="66"/>
      <c r="E38" s="66"/>
      <c r="F38" s="66"/>
      <c r="G38" s="66"/>
      <c r="H38" s="66"/>
      <c r="I38" s="67"/>
    </row>
    <row r="39" ht="15.75" customHeight="1">
      <c r="A39" s="68" t="s">
        <v>192</v>
      </c>
      <c r="B39" s="68" t="s">
        <v>193</v>
      </c>
      <c r="C39" s="68" t="s">
        <v>194</v>
      </c>
      <c r="D39" s="68" t="s">
        <v>195</v>
      </c>
      <c r="E39" s="68" t="s">
        <v>196</v>
      </c>
      <c r="F39" s="68" t="s">
        <v>197</v>
      </c>
      <c r="G39" s="68" t="s">
        <v>198</v>
      </c>
      <c r="H39" s="68" t="s">
        <v>199</v>
      </c>
      <c r="I39" s="68" t="s">
        <v>200</v>
      </c>
    </row>
    <row r="40" ht="15.75" customHeight="1">
      <c r="A40" s="69" t="s">
        <v>201</v>
      </c>
      <c r="B40" s="69" t="s">
        <v>230</v>
      </c>
      <c r="C40" s="71" t="s">
        <v>214</v>
      </c>
      <c r="D40" s="72">
        <v>2.5</v>
      </c>
      <c r="E40" s="72">
        <v>185.0</v>
      </c>
      <c r="F40" s="72">
        <v>5.0</v>
      </c>
      <c r="G40" s="72">
        <v>3.0</v>
      </c>
      <c r="H40" s="72">
        <v>1.0</v>
      </c>
      <c r="I40" s="72">
        <v>0.0</v>
      </c>
    </row>
    <row r="41" ht="15.75" customHeight="1">
      <c r="A41" s="69" t="s">
        <v>203</v>
      </c>
      <c r="B41" s="69" t="s">
        <v>231</v>
      </c>
      <c r="C41" s="71" t="s">
        <v>214</v>
      </c>
      <c r="D41" s="72">
        <v>3.0</v>
      </c>
      <c r="E41" s="72">
        <v>210.0</v>
      </c>
      <c r="F41" s="72">
        <v>6.0</v>
      </c>
      <c r="G41" s="72">
        <v>4.0</v>
      </c>
      <c r="H41" s="72">
        <v>1.0</v>
      </c>
      <c r="I41" s="72">
        <v>0.0</v>
      </c>
    </row>
    <row r="42" ht="15.75" customHeight="1">
      <c r="A42" s="69" t="s">
        <v>204</v>
      </c>
      <c r="B42" s="69" t="s">
        <v>232</v>
      </c>
      <c r="C42" s="71" t="s">
        <v>214</v>
      </c>
      <c r="D42" s="72">
        <v>3.0</v>
      </c>
      <c r="E42" s="72">
        <v>195.0</v>
      </c>
      <c r="F42" s="72">
        <v>5.0</v>
      </c>
      <c r="G42" s="72">
        <v>3.0</v>
      </c>
      <c r="H42" s="72">
        <v>0.0</v>
      </c>
      <c r="I42" s="72">
        <v>1.0</v>
      </c>
    </row>
    <row r="43" ht="15.75" customHeight="1">
      <c r="A43" s="69" t="s">
        <v>205</v>
      </c>
      <c r="B43" s="69" t="s">
        <v>233</v>
      </c>
      <c r="C43" s="71" t="s">
        <v>214</v>
      </c>
      <c r="D43" s="72">
        <v>2.5</v>
      </c>
      <c r="E43" s="72">
        <v>175.0</v>
      </c>
      <c r="F43" s="72">
        <v>4.0</v>
      </c>
      <c r="G43" s="72">
        <v>2.0</v>
      </c>
      <c r="H43" s="72">
        <v>1.0</v>
      </c>
      <c r="I43" s="72">
        <v>0.0</v>
      </c>
    </row>
    <row r="44" ht="15.75" customHeight="1">
      <c r="A44" s="69" t="s">
        <v>206</v>
      </c>
      <c r="B44" s="69" t="s">
        <v>234</v>
      </c>
      <c r="C44" s="71" t="s">
        <v>214</v>
      </c>
      <c r="D44" s="72">
        <v>3.0</v>
      </c>
      <c r="E44" s="72">
        <v>194.0</v>
      </c>
      <c r="F44" s="72">
        <v>6.0</v>
      </c>
      <c r="G44" s="72">
        <v>3.0</v>
      </c>
      <c r="H44" s="72">
        <v>1.0</v>
      </c>
      <c r="I44" s="72">
        <v>1.0</v>
      </c>
    </row>
    <row r="45" ht="15.75" customHeight="1">
      <c r="A45" s="74" t="s">
        <v>207</v>
      </c>
      <c r="B45" s="74" t="s">
        <v>235</v>
      </c>
      <c r="C45" s="75"/>
      <c r="D45" s="76"/>
      <c r="E45" s="76"/>
      <c r="F45" s="76"/>
      <c r="G45" s="76"/>
      <c r="H45" s="76"/>
      <c r="I45" s="76"/>
    </row>
    <row r="46" ht="15.75" customHeight="1">
      <c r="A46" s="74" t="s">
        <v>209</v>
      </c>
      <c r="B46" s="74" t="s">
        <v>236</v>
      </c>
      <c r="C46" s="75"/>
      <c r="D46" s="76"/>
      <c r="E46" s="76"/>
      <c r="F46" s="76"/>
      <c r="G46" s="76"/>
      <c r="H46" s="76"/>
      <c r="I46" s="76"/>
    </row>
    <row r="47" ht="15.75" customHeight="1">
      <c r="A47" s="77" t="s">
        <v>211</v>
      </c>
      <c r="B47" s="11"/>
      <c r="C47" s="11"/>
      <c r="D47" s="78">
        <f t="shared" ref="D47:I47" si="4">SUM(D40:D46)</f>
        <v>14</v>
      </c>
      <c r="E47" s="78">
        <f t="shared" si="4"/>
        <v>959</v>
      </c>
      <c r="F47" s="78">
        <f t="shared" si="4"/>
        <v>26</v>
      </c>
      <c r="G47" s="78">
        <f t="shared" si="4"/>
        <v>15</v>
      </c>
      <c r="H47" s="78">
        <f t="shared" si="4"/>
        <v>4</v>
      </c>
      <c r="I47" s="78">
        <f t="shared" si="4"/>
        <v>2</v>
      </c>
    </row>
    <row r="48" ht="15.75" customHeight="1"/>
    <row r="49" ht="15.75" customHeight="1">
      <c r="A49" s="65" t="s">
        <v>237</v>
      </c>
      <c r="B49" s="66"/>
      <c r="C49" s="66"/>
      <c r="D49" s="66"/>
      <c r="E49" s="66"/>
      <c r="F49" s="66"/>
      <c r="G49" s="66"/>
      <c r="H49" s="66"/>
      <c r="I49" s="67"/>
    </row>
    <row r="50" ht="15.75" customHeight="1">
      <c r="A50" s="68" t="s">
        <v>192</v>
      </c>
      <c r="B50" s="68" t="s">
        <v>193</v>
      </c>
      <c r="C50" s="68" t="s">
        <v>194</v>
      </c>
      <c r="D50" s="68" t="s">
        <v>195</v>
      </c>
      <c r="E50" s="68" t="s">
        <v>196</v>
      </c>
      <c r="F50" s="68" t="s">
        <v>197</v>
      </c>
      <c r="G50" s="68" t="s">
        <v>198</v>
      </c>
      <c r="H50" s="68" t="s">
        <v>199</v>
      </c>
      <c r="I50" s="68" t="s">
        <v>200</v>
      </c>
    </row>
    <row r="51" ht="15.75" customHeight="1">
      <c r="A51" s="69" t="s">
        <v>201</v>
      </c>
      <c r="B51" s="69" t="s">
        <v>238</v>
      </c>
      <c r="C51" s="71" t="s">
        <v>214</v>
      </c>
      <c r="D51" s="72">
        <v>3.0</v>
      </c>
      <c r="E51" s="72">
        <v>195.0</v>
      </c>
      <c r="F51" s="72">
        <v>6.0</v>
      </c>
      <c r="G51" s="72">
        <v>3.0</v>
      </c>
      <c r="H51" s="72">
        <v>1.0</v>
      </c>
      <c r="I51" s="72">
        <v>0.0</v>
      </c>
    </row>
    <row r="52" ht="15.75" customHeight="1">
      <c r="A52" s="69" t="s">
        <v>203</v>
      </c>
      <c r="B52" s="69" t="s">
        <v>239</v>
      </c>
      <c r="C52" s="71" t="s">
        <v>214</v>
      </c>
      <c r="D52" s="72">
        <v>2.5</v>
      </c>
      <c r="E52" s="72">
        <v>180.0</v>
      </c>
      <c r="F52" s="72">
        <v>5.0</v>
      </c>
      <c r="G52" s="72">
        <v>2.0</v>
      </c>
      <c r="H52" s="72">
        <v>0.0</v>
      </c>
      <c r="I52" s="72">
        <v>0.0</v>
      </c>
    </row>
    <row r="53" ht="15.75" customHeight="1">
      <c r="A53" s="69" t="s">
        <v>204</v>
      </c>
      <c r="B53" s="69" t="s">
        <v>240</v>
      </c>
      <c r="C53" s="71" t="s">
        <v>214</v>
      </c>
      <c r="D53" s="72">
        <v>3.0</v>
      </c>
      <c r="E53" s="72">
        <v>210.0</v>
      </c>
      <c r="F53" s="72">
        <v>7.0</v>
      </c>
      <c r="G53" s="72">
        <v>4.0</v>
      </c>
      <c r="H53" s="72">
        <v>1.0</v>
      </c>
      <c r="I53" s="72">
        <v>0.0</v>
      </c>
    </row>
    <row r="54" ht="15.75" customHeight="1">
      <c r="A54" s="69" t="s">
        <v>205</v>
      </c>
      <c r="B54" s="69" t="s">
        <v>241</v>
      </c>
      <c r="C54" s="71" t="s">
        <v>214</v>
      </c>
      <c r="D54" s="72">
        <v>3.0</v>
      </c>
      <c r="E54" s="72">
        <v>200.0</v>
      </c>
      <c r="F54" s="72">
        <v>6.0</v>
      </c>
      <c r="G54" s="72">
        <v>3.0</v>
      </c>
      <c r="H54" s="72">
        <v>1.0</v>
      </c>
      <c r="I54" s="72">
        <v>0.0</v>
      </c>
    </row>
    <row r="55" ht="15.75" customHeight="1">
      <c r="A55" s="69" t="s">
        <v>206</v>
      </c>
      <c r="B55" s="69" t="s">
        <v>242</v>
      </c>
      <c r="C55" s="71" t="s">
        <v>214</v>
      </c>
      <c r="D55" s="72">
        <v>2.5</v>
      </c>
      <c r="E55" s="72">
        <v>190.0</v>
      </c>
      <c r="F55" s="72">
        <v>5.0</v>
      </c>
      <c r="G55" s="72">
        <v>3.0</v>
      </c>
      <c r="H55" s="72">
        <v>0.0</v>
      </c>
      <c r="I55" s="72">
        <v>0.0</v>
      </c>
    </row>
    <row r="56" ht="15.75" customHeight="1">
      <c r="A56" s="74" t="s">
        <v>207</v>
      </c>
      <c r="B56" s="74" t="s">
        <v>243</v>
      </c>
      <c r="C56" s="75"/>
      <c r="D56" s="76"/>
      <c r="E56" s="76"/>
      <c r="F56" s="76"/>
      <c r="G56" s="76"/>
      <c r="H56" s="76"/>
      <c r="I56" s="76"/>
    </row>
    <row r="57" ht="15.75" customHeight="1">
      <c r="A57" s="74" t="s">
        <v>209</v>
      </c>
      <c r="B57" s="74" t="s">
        <v>244</v>
      </c>
      <c r="C57" s="75"/>
      <c r="D57" s="76"/>
      <c r="E57" s="76"/>
      <c r="F57" s="76"/>
      <c r="G57" s="76"/>
      <c r="H57" s="76"/>
      <c r="I57" s="76"/>
    </row>
    <row r="58" ht="15.75" customHeight="1">
      <c r="A58" s="77" t="s">
        <v>211</v>
      </c>
      <c r="B58" s="11"/>
      <c r="C58" s="11"/>
      <c r="D58" s="78">
        <f t="shared" ref="D58:I58" si="5">SUM(D51:D57)</f>
        <v>14</v>
      </c>
      <c r="E58" s="78">
        <f t="shared" si="5"/>
        <v>975</v>
      </c>
      <c r="F58" s="78">
        <f t="shared" si="5"/>
        <v>29</v>
      </c>
      <c r="G58" s="78">
        <f t="shared" si="5"/>
        <v>15</v>
      </c>
      <c r="H58" s="78">
        <f t="shared" si="5"/>
        <v>3</v>
      </c>
      <c r="I58" s="78">
        <f t="shared" si="5"/>
        <v>0</v>
      </c>
    </row>
    <row r="59" ht="15.75" customHeight="1"/>
    <row r="60" ht="15.75" customHeight="1">
      <c r="A60" s="65" t="s">
        <v>245</v>
      </c>
      <c r="B60" s="66"/>
      <c r="C60" s="66"/>
      <c r="D60" s="66"/>
      <c r="E60" s="66"/>
      <c r="F60" s="66"/>
      <c r="G60" s="66"/>
      <c r="H60" s="66"/>
      <c r="I60" s="67"/>
    </row>
    <row r="61" ht="15.75" customHeight="1">
      <c r="A61" s="68" t="s">
        <v>192</v>
      </c>
      <c r="B61" s="68" t="s">
        <v>193</v>
      </c>
      <c r="C61" s="68" t="s">
        <v>194</v>
      </c>
      <c r="D61" s="68" t="s">
        <v>195</v>
      </c>
      <c r="E61" s="68" t="s">
        <v>196</v>
      </c>
      <c r="F61" s="68" t="s">
        <v>197</v>
      </c>
      <c r="G61" s="68" t="s">
        <v>198</v>
      </c>
      <c r="H61" s="68" t="s">
        <v>199</v>
      </c>
      <c r="I61" s="68" t="s">
        <v>200</v>
      </c>
    </row>
    <row r="62" ht="15.75" customHeight="1">
      <c r="A62" s="69" t="s">
        <v>201</v>
      </c>
      <c r="B62" s="69" t="s">
        <v>246</v>
      </c>
      <c r="C62" s="71" t="s">
        <v>214</v>
      </c>
      <c r="D62" s="72">
        <v>3.0</v>
      </c>
      <c r="E62" s="72">
        <v>210.0</v>
      </c>
      <c r="F62" s="72">
        <v>7.0</v>
      </c>
      <c r="G62" s="72">
        <v>4.0</v>
      </c>
      <c r="H62" s="72">
        <v>1.0</v>
      </c>
      <c r="I62" s="72">
        <v>0.0</v>
      </c>
    </row>
    <row r="63" ht="15.75" customHeight="1">
      <c r="A63" s="69" t="s">
        <v>203</v>
      </c>
      <c r="B63" s="69" t="s">
        <v>247</v>
      </c>
      <c r="C63" s="71" t="s">
        <v>214</v>
      </c>
      <c r="D63" s="72">
        <v>3.0</v>
      </c>
      <c r="E63" s="72">
        <v>195.0</v>
      </c>
      <c r="F63" s="72">
        <v>6.0</v>
      </c>
      <c r="G63" s="72">
        <v>3.0</v>
      </c>
      <c r="H63" s="72">
        <v>1.0</v>
      </c>
      <c r="I63" s="72">
        <v>0.0</v>
      </c>
    </row>
    <row r="64" ht="15.75" customHeight="1">
      <c r="A64" s="69" t="s">
        <v>204</v>
      </c>
      <c r="B64" s="69" t="s">
        <v>248</v>
      </c>
      <c r="C64" s="71" t="s">
        <v>214</v>
      </c>
      <c r="D64" s="72">
        <v>2.5</v>
      </c>
      <c r="E64" s="72">
        <v>185.0</v>
      </c>
      <c r="F64" s="72">
        <v>5.0</v>
      </c>
      <c r="G64" s="72">
        <v>2.0</v>
      </c>
      <c r="H64" s="72">
        <v>0.0</v>
      </c>
      <c r="I64" s="72">
        <v>0.0</v>
      </c>
    </row>
    <row r="65" ht="15.75" customHeight="1">
      <c r="A65" s="69" t="s">
        <v>205</v>
      </c>
      <c r="B65" s="69" t="s">
        <v>249</v>
      </c>
      <c r="C65" s="71" t="s">
        <v>214</v>
      </c>
      <c r="D65" s="72">
        <v>3.0</v>
      </c>
      <c r="E65" s="72">
        <v>220.0</v>
      </c>
      <c r="F65" s="72">
        <v>8.0</v>
      </c>
      <c r="G65" s="72">
        <v>4.0</v>
      </c>
      <c r="H65" s="72">
        <v>1.0</v>
      </c>
      <c r="I65" s="72">
        <v>1.0</v>
      </c>
    </row>
    <row r="66" ht="15.75" customHeight="1">
      <c r="A66" s="69" t="s">
        <v>206</v>
      </c>
      <c r="B66" s="69" t="s">
        <v>250</v>
      </c>
      <c r="C66" s="71" t="s">
        <v>214</v>
      </c>
      <c r="D66" s="72">
        <v>3.0</v>
      </c>
      <c r="E66" s="72">
        <v>200.0</v>
      </c>
      <c r="F66" s="72">
        <v>6.0</v>
      </c>
      <c r="G66" s="72">
        <v>3.0</v>
      </c>
      <c r="H66" s="72">
        <v>1.0</v>
      </c>
      <c r="I66" s="72">
        <v>0.0</v>
      </c>
    </row>
    <row r="67" ht="15.75" customHeight="1">
      <c r="A67" s="74" t="s">
        <v>207</v>
      </c>
      <c r="B67" s="74" t="s">
        <v>251</v>
      </c>
      <c r="C67" s="75"/>
      <c r="D67" s="76"/>
      <c r="E67" s="76"/>
      <c r="F67" s="76"/>
      <c r="G67" s="76"/>
      <c r="H67" s="76"/>
      <c r="I67" s="76"/>
    </row>
    <row r="68" ht="15.75" customHeight="1">
      <c r="A68" s="74" t="s">
        <v>209</v>
      </c>
      <c r="B68" s="74" t="s">
        <v>252</v>
      </c>
      <c r="C68" s="75"/>
      <c r="D68" s="76"/>
      <c r="E68" s="76"/>
      <c r="F68" s="76"/>
      <c r="G68" s="76"/>
      <c r="H68" s="76"/>
      <c r="I68" s="76"/>
    </row>
    <row r="69" ht="15.75" customHeight="1">
      <c r="A69" s="77" t="s">
        <v>211</v>
      </c>
      <c r="B69" s="11"/>
      <c r="C69" s="11"/>
      <c r="D69" s="78">
        <f t="shared" ref="D69:I69" si="6">SUM(D62:D68)</f>
        <v>14.5</v>
      </c>
      <c r="E69" s="78">
        <f t="shared" si="6"/>
        <v>1010</v>
      </c>
      <c r="F69" s="78">
        <f t="shared" si="6"/>
        <v>32</v>
      </c>
      <c r="G69" s="78">
        <f t="shared" si="6"/>
        <v>16</v>
      </c>
      <c r="H69" s="78">
        <f t="shared" si="6"/>
        <v>4</v>
      </c>
      <c r="I69" s="78">
        <f t="shared" si="6"/>
        <v>1</v>
      </c>
    </row>
    <row r="70" ht="15.75" customHeight="1"/>
    <row r="71" ht="15.75" customHeight="1">
      <c r="A71" s="65" t="s">
        <v>253</v>
      </c>
      <c r="B71" s="66"/>
      <c r="C71" s="66"/>
      <c r="D71" s="66"/>
      <c r="E71" s="66"/>
      <c r="F71" s="66"/>
      <c r="G71" s="66"/>
      <c r="H71" s="66"/>
      <c r="I71" s="67"/>
    </row>
    <row r="72" ht="15.75" customHeight="1">
      <c r="A72" s="68" t="s">
        <v>192</v>
      </c>
      <c r="B72" s="68" t="s">
        <v>193</v>
      </c>
      <c r="C72" s="68" t="s">
        <v>194</v>
      </c>
      <c r="D72" s="68" t="s">
        <v>195</v>
      </c>
      <c r="E72" s="68" t="s">
        <v>196</v>
      </c>
      <c r="F72" s="68" t="s">
        <v>197</v>
      </c>
      <c r="G72" s="68" t="s">
        <v>198</v>
      </c>
      <c r="H72" s="68" t="s">
        <v>199</v>
      </c>
      <c r="I72" s="68" t="s">
        <v>200</v>
      </c>
    </row>
    <row r="73" ht="15.75" customHeight="1">
      <c r="A73" s="69" t="s">
        <v>201</v>
      </c>
      <c r="B73" s="69" t="s">
        <v>254</v>
      </c>
      <c r="C73" s="71" t="s">
        <v>214</v>
      </c>
      <c r="D73" s="72">
        <v>2.5</v>
      </c>
      <c r="E73" s="72">
        <v>190.0</v>
      </c>
      <c r="F73" s="72">
        <v>6.0</v>
      </c>
      <c r="G73" s="72">
        <v>3.0</v>
      </c>
      <c r="H73" s="72">
        <v>0.0</v>
      </c>
      <c r="I73" s="72">
        <v>0.0</v>
      </c>
    </row>
    <row r="74" ht="15.75" customHeight="1">
      <c r="A74" s="69" t="s">
        <v>203</v>
      </c>
      <c r="B74" s="69" t="s">
        <v>255</v>
      </c>
      <c r="C74" s="71" t="s">
        <v>214</v>
      </c>
      <c r="D74" s="72">
        <v>3.0</v>
      </c>
      <c r="E74" s="72">
        <v>215.0</v>
      </c>
      <c r="F74" s="72">
        <v>7.0</v>
      </c>
      <c r="G74" s="72">
        <v>4.0</v>
      </c>
      <c r="H74" s="72">
        <v>1.0</v>
      </c>
      <c r="I74" s="72">
        <v>0.0</v>
      </c>
    </row>
    <row r="75" ht="15.75" customHeight="1">
      <c r="A75" s="69" t="s">
        <v>204</v>
      </c>
      <c r="B75" s="69" t="s">
        <v>256</v>
      </c>
      <c r="C75" s="71" t="s">
        <v>214</v>
      </c>
      <c r="D75" s="72">
        <v>3.0</v>
      </c>
      <c r="E75" s="72">
        <v>200.0</v>
      </c>
      <c r="F75" s="72">
        <v>6.0</v>
      </c>
      <c r="G75" s="72">
        <v>3.0</v>
      </c>
      <c r="H75" s="72">
        <v>1.0</v>
      </c>
      <c r="I75" s="72">
        <v>0.0</v>
      </c>
    </row>
    <row r="76" ht="15.75" customHeight="1">
      <c r="A76" s="69" t="s">
        <v>205</v>
      </c>
      <c r="B76" s="69" t="s">
        <v>257</v>
      </c>
      <c r="C76" s="71" t="s">
        <v>214</v>
      </c>
      <c r="D76" s="72">
        <v>2.5</v>
      </c>
      <c r="E76" s="72">
        <v>185.0</v>
      </c>
      <c r="F76" s="72">
        <v>5.0</v>
      </c>
      <c r="G76" s="72">
        <v>2.0</v>
      </c>
      <c r="H76" s="72">
        <v>0.0</v>
      </c>
      <c r="I76" s="72">
        <v>0.0</v>
      </c>
    </row>
    <row r="77" ht="15.75" customHeight="1">
      <c r="A77" s="69" t="s">
        <v>206</v>
      </c>
      <c r="B77" s="69" t="s">
        <v>258</v>
      </c>
      <c r="C77" s="71" t="s">
        <v>214</v>
      </c>
      <c r="D77" s="72">
        <v>3.0</v>
      </c>
      <c r="E77" s="72">
        <v>205.0</v>
      </c>
      <c r="F77" s="72">
        <v>7.0</v>
      </c>
      <c r="G77" s="72">
        <v>3.0</v>
      </c>
      <c r="H77" s="72">
        <v>1.0</v>
      </c>
      <c r="I77" s="72">
        <v>1.0</v>
      </c>
    </row>
    <row r="78" ht="15.75" customHeight="1">
      <c r="A78" s="74" t="s">
        <v>207</v>
      </c>
      <c r="B78" s="74" t="s">
        <v>259</v>
      </c>
      <c r="C78" s="75"/>
      <c r="D78" s="76"/>
      <c r="E78" s="76"/>
      <c r="F78" s="76"/>
      <c r="G78" s="76"/>
      <c r="H78" s="76"/>
      <c r="I78" s="76"/>
    </row>
    <row r="79" ht="15.75" customHeight="1">
      <c r="A79" s="74" t="s">
        <v>209</v>
      </c>
      <c r="B79" s="74" t="s">
        <v>260</v>
      </c>
      <c r="C79" s="75"/>
      <c r="D79" s="76"/>
      <c r="E79" s="76"/>
      <c r="F79" s="76"/>
      <c r="G79" s="76"/>
      <c r="H79" s="76"/>
      <c r="I79" s="76"/>
    </row>
    <row r="80" ht="15.75" customHeight="1">
      <c r="A80" s="77" t="s">
        <v>211</v>
      </c>
      <c r="B80" s="11"/>
      <c r="C80" s="11"/>
      <c r="D80" s="78">
        <f t="shared" ref="D80:I80" si="7">SUM(D73:D79)</f>
        <v>14</v>
      </c>
      <c r="E80" s="78">
        <f t="shared" si="7"/>
        <v>995</v>
      </c>
      <c r="F80" s="78">
        <f t="shared" si="7"/>
        <v>31</v>
      </c>
      <c r="G80" s="78">
        <f t="shared" si="7"/>
        <v>15</v>
      </c>
      <c r="H80" s="78">
        <f t="shared" si="7"/>
        <v>3</v>
      </c>
      <c r="I80" s="78">
        <f t="shared" si="7"/>
        <v>1</v>
      </c>
    </row>
    <row r="81" ht="15.75" customHeight="1"/>
    <row r="82" ht="15.75" customHeight="1">
      <c r="A82" s="65" t="s">
        <v>261</v>
      </c>
      <c r="B82" s="66"/>
      <c r="C82" s="66"/>
      <c r="D82" s="66"/>
      <c r="E82" s="66"/>
      <c r="F82" s="66"/>
      <c r="G82" s="66"/>
      <c r="H82" s="66"/>
      <c r="I82" s="67"/>
    </row>
    <row r="83" ht="15.75" customHeight="1">
      <c r="A83" s="68" t="s">
        <v>192</v>
      </c>
      <c r="B83" s="68" t="s">
        <v>193</v>
      </c>
      <c r="C83" s="68" t="s">
        <v>194</v>
      </c>
      <c r="D83" s="68" t="s">
        <v>195</v>
      </c>
      <c r="E83" s="68" t="s">
        <v>196</v>
      </c>
      <c r="F83" s="68" t="s">
        <v>197</v>
      </c>
      <c r="G83" s="68" t="s">
        <v>198</v>
      </c>
      <c r="H83" s="68" t="s">
        <v>199</v>
      </c>
      <c r="I83" s="68" t="s">
        <v>200</v>
      </c>
    </row>
    <row r="84" ht="15.75" customHeight="1">
      <c r="A84" s="69" t="s">
        <v>201</v>
      </c>
      <c r="B84" s="69" t="s">
        <v>262</v>
      </c>
      <c r="C84" s="71" t="s">
        <v>214</v>
      </c>
      <c r="D84" s="72">
        <v>3.0</v>
      </c>
      <c r="E84" s="72">
        <v>205.0</v>
      </c>
      <c r="F84" s="72">
        <v>7.0</v>
      </c>
      <c r="G84" s="72">
        <v>3.0</v>
      </c>
      <c r="H84" s="72">
        <v>1.0</v>
      </c>
      <c r="I84" s="72">
        <v>0.0</v>
      </c>
    </row>
    <row r="85" ht="15.75" customHeight="1">
      <c r="A85" s="69" t="s">
        <v>203</v>
      </c>
      <c r="B85" s="69" t="s">
        <v>263</v>
      </c>
      <c r="C85" s="71" t="s">
        <v>214</v>
      </c>
      <c r="D85" s="72">
        <v>2.5</v>
      </c>
      <c r="E85" s="72">
        <v>190.0</v>
      </c>
      <c r="F85" s="72">
        <v>5.0</v>
      </c>
      <c r="G85" s="72">
        <v>3.0</v>
      </c>
      <c r="H85" s="72">
        <v>0.0</v>
      </c>
      <c r="I85" s="72">
        <v>0.0</v>
      </c>
    </row>
    <row r="86" ht="15.75" customHeight="1">
      <c r="A86" s="69" t="s">
        <v>204</v>
      </c>
      <c r="B86" s="69" t="s">
        <v>264</v>
      </c>
      <c r="C86" s="71" t="s">
        <v>214</v>
      </c>
      <c r="D86" s="72">
        <v>3.0</v>
      </c>
      <c r="E86" s="72">
        <v>215.0</v>
      </c>
      <c r="F86" s="72">
        <v>8.0</v>
      </c>
      <c r="G86" s="72">
        <v>4.0</v>
      </c>
      <c r="H86" s="72">
        <v>1.0</v>
      </c>
      <c r="I86" s="72">
        <v>0.0</v>
      </c>
    </row>
    <row r="87" ht="15.75" customHeight="1">
      <c r="A87" s="69" t="s">
        <v>205</v>
      </c>
      <c r="B87" s="69" t="s">
        <v>265</v>
      </c>
      <c r="C87" s="71" t="s">
        <v>214</v>
      </c>
      <c r="D87" s="72">
        <v>3.0</v>
      </c>
      <c r="E87" s="72">
        <v>195.0</v>
      </c>
      <c r="F87" s="72">
        <v>6.0</v>
      </c>
      <c r="G87" s="72">
        <v>2.0</v>
      </c>
      <c r="H87" s="72">
        <v>1.0</v>
      </c>
      <c r="I87" s="72">
        <v>0.0</v>
      </c>
    </row>
    <row r="88" ht="15.75" customHeight="1">
      <c r="A88" s="69" t="s">
        <v>206</v>
      </c>
      <c r="B88" s="69" t="s">
        <v>266</v>
      </c>
      <c r="C88" s="71" t="s">
        <v>214</v>
      </c>
      <c r="D88" s="72">
        <v>2.5</v>
      </c>
      <c r="E88" s="72">
        <v>210.0</v>
      </c>
      <c r="F88" s="72">
        <v>7.0</v>
      </c>
      <c r="G88" s="72">
        <v>3.0</v>
      </c>
      <c r="H88" s="72">
        <v>0.0</v>
      </c>
      <c r="I88" s="72">
        <v>0.0</v>
      </c>
    </row>
    <row r="89" ht="15.75" customHeight="1">
      <c r="A89" s="74" t="s">
        <v>207</v>
      </c>
      <c r="B89" s="74" t="s">
        <v>267</v>
      </c>
      <c r="C89" s="75"/>
      <c r="D89" s="76"/>
      <c r="E89" s="76"/>
      <c r="F89" s="76"/>
      <c r="G89" s="76"/>
      <c r="H89" s="76"/>
      <c r="I89" s="76"/>
    </row>
    <row r="90" ht="15.75" customHeight="1">
      <c r="A90" s="74" t="s">
        <v>209</v>
      </c>
      <c r="B90" s="74" t="s">
        <v>268</v>
      </c>
      <c r="C90" s="75"/>
      <c r="D90" s="76"/>
      <c r="E90" s="76"/>
      <c r="F90" s="76"/>
      <c r="G90" s="76"/>
      <c r="H90" s="76"/>
      <c r="I90" s="76"/>
    </row>
    <row r="91" ht="15.75" customHeight="1">
      <c r="A91" s="77" t="s">
        <v>211</v>
      </c>
      <c r="B91" s="11"/>
      <c r="C91" s="11"/>
      <c r="D91" s="78">
        <f t="shared" ref="D91:I91" si="8">SUM(D84:D90)</f>
        <v>14</v>
      </c>
      <c r="E91" s="78">
        <f t="shared" si="8"/>
        <v>1015</v>
      </c>
      <c r="F91" s="78">
        <f t="shared" si="8"/>
        <v>33</v>
      </c>
      <c r="G91" s="78">
        <f t="shared" si="8"/>
        <v>15</v>
      </c>
      <c r="H91" s="78">
        <f t="shared" si="8"/>
        <v>3</v>
      </c>
      <c r="I91" s="78">
        <f t="shared" si="8"/>
        <v>0</v>
      </c>
    </row>
    <row r="92" ht="15.75" customHeight="1"/>
    <row r="93" ht="15.75" customHeight="1">
      <c r="A93" s="65" t="s">
        <v>269</v>
      </c>
      <c r="B93" s="66"/>
      <c r="C93" s="66"/>
      <c r="D93" s="66"/>
      <c r="E93" s="66"/>
      <c r="F93" s="66"/>
      <c r="G93" s="66"/>
      <c r="H93" s="66"/>
      <c r="I93" s="67"/>
    </row>
    <row r="94" ht="15.75" customHeight="1">
      <c r="A94" s="68" t="s">
        <v>192</v>
      </c>
      <c r="B94" s="68" t="s">
        <v>193</v>
      </c>
      <c r="C94" s="68" t="s">
        <v>194</v>
      </c>
      <c r="D94" s="68" t="s">
        <v>195</v>
      </c>
      <c r="E94" s="68" t="s">
        <v>196</v>
      </c>
      <c r="F94" s="68" t="s">
        <v>197</v>
      </c>
      <c r="G94" s="68" t="s">
        <v>198</v>
      </c>
      <c r="H94" s="68" t="s">
        <v>199</v>
      </c>
      <c r="I94" s="68" t="s">
        <v>200</v>
      </c>
    </row>
    <row r="95" ht="15.75" customHeight="1">
      <c r="A95" s="69" t="s">
        <v>201</v>
      </c>
      <c r="B95" s="69" t="s">
        <v>270</v>
      </c>
      <c r="C95" s="71"/>
      <c r="D95" s="72"/>
      <c r="E95" s="72"/>
      <c r="F95" s="72"/>
      <c r="G95" s="72"/>
      <c r="H95" s="72"/>
      <c r="I95" s="72"/>
    </row>
    <row r="96" ht="15.75" customHeight="1">
      <c r="A96" s="69" t="s">
        <v>203</v>
      </c>
      <c r="B96" s="69" t="s">
        <v>271</v>
      </c>
      <c r="C96" s="71"/>
      <c r="D96" s="72"/>
      <c r="E96" s="72"/>
      <c r="F96" s="72"/>
      <c r="G96" s="72"/>
      <c r="H96" s="72"/>
      <c r="I96" s="72"/>
    </row>
    <row r="97" ht="15.75" customHeight="1">
      <c r="A97" s="69" t="s">
        <v>204</v>
      </c>
      <c r="B97" s="69" t="s">
        <v>272</v>
      </c>
      <c r="C97" s="71"/>
      <c r="D97" s="72"/>
      <c r="E97" s="72"/>
      <c r="F97" s="72"/>
      <c r="G97" s="72"/>
      <c r="H97" s="72"/>
      <c r="I97" s="72"/>
    </row>
    <row r="98" ht="15.75" customHeight="1">
      <c r="A98" s="69" t="s">
        <v>205</v>
      </c>
      <c r="B98" s="69" t="s">
        <v>273</v>
      </c>
      <c r="C98" s="71"/>
      <c r="D98" s="72"/>
      <c r="E98" s="72"/>
      <c r="F98" s="72"/>
      <c r="G98" s="72"/>
      <c r="H98" s="72"/>
      <c r="I98" s="72"/>
    </row>
    <row r="99" ht="15.75" customHeight="1">
      <c r="A99" s="69" t="s">
        <v>206</v>
      </c>
      <c r="B99" s="69" t="s">
        <v>274</v>
      </c>
      <c r="C99" s="71"/>
      <c r="D99" s="72"/>
      <c r="E99" s="72"/>
      <c r="F99" s="72"/>
      <c r="G99" s="72"/>
      <c r="H99" s="72"/>
      <c r="I99" s="72"/>
    </row>
    <row r="100" ht="15.75" customHeight="1">
      <c r="A100" s="74" t="s">
        <v>207</v>
      </c>
      <c r="B100" s="74" t="s">
        <v>275</v>
      </c>
      <c r="C100" s="75"/>
      <c r="D100" s="76"/>
      <c r="E100" s="76"/>
      <c r="F100" s="76"/>
      <c r="G100" s="76"/>
      <c r="H100" s="76"/>
      <c r="I100" s="76"/>
    </row>
    <row r="101" ht="15.75" customHeight="1">
      <c r="A101" s="74" t="s">
        <v>209</v>
      </c>
      <c r="B101" s="74" t="s">
        <v>276</v>
      </c>
      <c r="C101" s="75"/>
      <c r="D101" s="76"/>
      <c r="E101" s="76"/>
      <c r="F101" s="76"/>
      <c r="G101" s="76"/>
      <c r="H101" s="76"/>
      <c r="I101" s="76"/>
    </row>
    <row r="102" ht="15.75" customHeight="1">
      <c r="A102" s="77" t="s">
        <v>211</v>
      </c>
      <c r="B102" s="11"/>
      <c r="C102" s="11"/>
      <c r="D102" s="78">
        <f t="shared" ref="D102:I102" si="9">SUM(D95:D101)</f>
        <v>0</v>
      </c>
      <c r="E102" s="78">
        <f t="shared" si="9"/>
        <v>0</v>
      </c>
      <c r="F102" s="78">
        <f t="shared" si="9"/>
        <v>0</v>
      </c>
      <c r="G102" s="78">
        <f t="shared" si="9"/>
        <v>0</v>
      </c>
      <c r="H102" s="78">
        <f t="shared" si="9"/>
        <v>0</v>
      </c>
      <c r="I102" s="78">
        <f t="shared" si="9"/>
        <v>0</v>
      </c>
    </row>
    <row r="103" ht="15.75" customHeight="1"/>
    <row r="104" ht="15.75" customHeight="1">
      <c r="A104" s="65" t="s">
        <v>277</v>
      </c>
      <c r="B104" s="66"/>
      <c r="C104" s="66"/>
      <c r="D104" s="66"/>
      <c r="E104" s="66"/>
      <c r="F104" s="66"/>
      <c r="G104" s="66"/>
      <c r="H104" s="66"/>
      <c r="I104" s="67"/>
    </row>
    <row r="105" ht="15.75" customHeight="1">
      <c r="A105" s="68" t="s">
        <v>192</v>
      </c>
      <c r="B105" s="68" t="s">
        <v>193</v>
      </c>
      <c r="C105" s="68" t="s">
        <v>194</v>
      </c>
      <c r="D105" s="68" t="s">
        <v>195</v>
      </c>
      <c r="E105" s="68" t="s">
        <v>196</v>
      </c>
      <c r="F105" s="68" t="s">
        <v>197</v>
      </c>
      <c r="G105" s="68" t="s">
        <v>198</v>
      </c>
      <c r="H105" s="68" t="s">
        <v>199</v>
      </c>
      <c r="I105" s="68" t="s">
        <v>200</v>
      </c>
    </row>
    <row r="106" ht="15.75" customHeight="1">
      <c r="A106" s="69" t="s">
        <v>201</v>
      </c>
      <c r="B106" s="69" t="s">
        <v>278</v>
      </c>
      <c r="C106" s="71"/>
      <c r="D106" s="72"/>
      <c r="E106" s="72"/>
      <c r="F106" s="72"/>
      <c r="G106" s="72"/>
      <c r="H106" s="72"/>
      <c r="I106" s="72"/>
    </row>
    <row r="107" ht="15.75" customHeight="1">
      <c r="A107" s="69" t="s">
        <v>203</v>
      </c>
      <c r="B107" s="69" t="s">
        <v>279</v>
      </c>
      <c r="C107" s="71"/>
      <c r="D107" s="72"/>
      <c r="E107" s="72"/>
      <c r="F107" s="72"/>
      <c r="G107" s="72"/>
      <c r="H107" s="72"/>
      <c r="I107" s="72"/>
    </row>
    <row r="108" ht="15.75" customHeight="1">
      <c r="A108" s="69" t="s">
        <v>204</v>
      </c>
      <c r="B108" s="69" t="s">
        <v>280</v>
      </c>
      <c r="C108" s="71"/>
      <c r="D108" s="72"/>
      <c r="E108" s="72"/>
      <c r="F108" s="72"/>
      <c r="G108" s="72"/>
      <c r="H108" s="72"/>
      <c r="I108" s="72"/>
    </row>
    <row r="109" ht="15.75" customHeight="1">
      <c r="A109" s="69" t="s">
        <v>205</v>
      </c>
      <c r="B109" s="69" t="s">
        <v>281</v>
      </c>
      <c r="C109" s="71"/>
      <c r="D109" s="72"/>
      <c r="E109" s="72"/>
      <c r="F109" s="72"/>
      <c r="G109" s="72"/>
      <c r="H109" s="72"/>
      <c r="I109" s="72"/>
    </row>
    <row r="110" ht="15.75" customHeight="1">
      <c r="A110" s="69" t="s">
        <v>206</v>
      </c>
      <c r="B110" s="69" t="s">
        <v>282</v>
      </c>
      <c r="C110" s="71"/>
      <c r="D110" s="72"/>
      <c r="E110" s="72"/>
      <c r="F110" s="72"/>
      <c r="G110" s="72"/>
      <c r="H110" s="72"/>
      <c r="I110" s="72"/>
    </row>
    <row r="111" ht="15.75" customHeight="1">
      <c r="A111" s="74" t="s">
        <v>207</v>
      </c>
      <c r="B111" s="74" t="s">
        <v>283</v>
      </c>
      <c r="C111" s="75"/>
      <c r="D111" s="76"/>
      <c r="E111" s="76"/>
      <c r="F111" s="76"/>
      <c r="G111" s="76"/>
      <c r="H111" s="76"/>
      <c r="I111" s="76"/>
    </row>
    <row r="112" ht="15.75" customHeight="1">
      <c r="A112" s="74" t="s">
        <v>209</v>
      </c>
      <c r="B112" s="74" t="s">
        <v>284</v>
      </c>
      <c r="C112" s="75"/>
      <c r="D112" s="76"/>
      <c r="E112" s="76"/>
      <c r="F112" s="76"/>
      <c r="G112" s="76"/>
      <c r="H112" s="76"/>
      <c r="I112" s="76"/>
    </row>
    <row r="113" ht="15.75" customHeight="1">
      <c r="A113" s="77" t="s">
        <v>211</v>
      </c>
      <c r="B113" s="11"/>
      <c r="C113" s="11"/>
      <c r="D113" s="78">
        <f t="shared" ref="D113:I113" si="10">SUM(D106:D112)</f>
        <v>0</v>
      </c>
      <c r="E113" s="78">
        <f t="shared" si="10"/>
        <v>0</v>
      </c>
      <c r="F113" s="78">
        <f t="shared" si="10"/>
        <v>0</v>
      </c>
      <c r="G113" s="78">
        <f t="shared" si="10"/>
        <v>0</v>
      </c>
      <c r="H113" s="78">
        <f t="shared" si="10"/>
        <v>0</v>
      </c>
      <c r="I113" s="78">
        <f t="shared" si="10"/>
        <v>0</v>
      </c>
    </row>
    <row r="114" ht="15.75" customHeight="1"/>
    <row r="115" ht="15.75" customHeight="1">
      <c r="A115" s="65" t="s">
        <v>285</v>
      </c>
      <c r="B115" s="66"/>
      <c r="C115" s="66"/>
      <c r="D115" s="66"/>
      <c r="E115" s="66"/>
      <c r="F115" s="66"/>
      <c r="G115" s="66"/>
      <c r="H115" s="66"/>
      <c r="I115" s="67"/>
    </row>
    <row r="116" ht="15.75" customHeight="1">
      <c r="A116" s="68" t="s">
        <v>192</v>
      </c>
      <c r="B116" s="68" t="s">
        <v>193</v>
      </c>
      <c r="C116" s="68" t="s">
        <v>194</v>
      </c>
      <c r="D116" s="68" t="s">
        <v>195</v>
      </c>
      <c r="E116" s="68" t="s">
        <v>196</v>
      </c>
      <c r="F116" s="68" t="s">
        <v>197</v>
      </c>
      <c r="G116" s="68" t="s">
        <v>198</v>
      </c>
      <c r="H116" s="68" t="s">
        <v>199</v>
      </c>
      <c r="I116" s="68" t="s">
        <v>200</v>
      </c>
    </row>
    <row r="117" ht="15.75" customHeight="1">
      <c r="A117" s="69" t="s">
        <v>201</v>
      </c>
      <c r="B117" s="69" t="s">
        <v>286</v>
      </c>
      <c r="C117" s="71"/>
      <c r="D117" s="72"/>
      <c r="E117" s="72"/>
      <c r="F117" s="72"/>
      <c r="G117" s="72"/>
      <c r="H117" s="72"/>
      <c r="I117" s="72"/>
    </row>
    <row r="118" ht="15.75" customHeight="1">
      <c r="A118" s="69" t="s">
        <v>203</v>
      </c>
      <c r="B118" s="69" t="s">
        <v>287</v>
      </c>
      <c r="C118" s="71"/>
      <c r="D118" s="72"/>
      <c r="E118" s="72"/>
      <c r="F118" s="72"/>
      <c r="G118" s="72"/>
      <c r="H118" s="72"/>
      <c r="I118" s="72"/>
    </row>
    <row r="119" ht="15.75" customHeight="1">
      <c r="A119" s="69" t="s">
        <v>204</v>
      </c>
      <c r="B119" s="69" t="s">
        <v>288</v>
      </c>
      <c r="C119" s="71"/>
      <c r="D119" s="72"/>
      <c r="E119" s="72"/>
      <c r="F119" s="72"/>
      <c r="G119" s="72"/>
      <c r="H119" s="72"/>
      <c r="I119" s="72"/>
    </row>
    <row r="120" ht="15.75" customHeight="1">
      <c r="A120" s="69" t="s">
        <v>205</v>
      </c>
      <c r="B120" s="69" t="s">
        <v>289</v>
      </c>
      <c r="C120" s="71"/>
      <c r="D120" s="72"/>
      <c r="E120" s="72"/>
      <c r="F120" s="72"/>
      <c r="G120" s="72"/>
      <c r="H120" s="72"/>
      <c r="I120" s="72"/>
    </row>
    <row r="121" ht="15.75" customHeight="1">
      <c r="A121" s="69" t="s">
        <v>206</v>
      </c>
      <c r="B121" s="69" t="s">
        <v>290</v>
      </c>
      <c r="C121" s="71"/>
      <c r="D121" s="72"/>
      <c r="E121" s="72"/>
      <c r="F121" s="72"/>
      <c r="G121" s="72"/>
      <c r="H121" s="72"/>
      <c r="I121" s="72"/>
    </row>
    <row r="122" ht="15.75" customHeight="1">
      <c r="A122" s="74" t="s">
        <v>207</v>
      </c>
      <c r="B122" s="74" t="s">
        <v>291</v>
      </c>
      <c r="C122" s="75"/>
      <c r="D122" s="76"/>
      <c r="E122" s="76"/>
      <c r="F122" s="76"/>
      <c r="G122" s="76"/>
      <c r="H122" s="76"/>
      <c r="I122" s="76"/>
    </row>
    <row r="123" ht="15.75" customHeight="1">
      <c r="A123" s="74" t="s">
        <v>209</v>
      </c>
      <c r="B123" s="74" t="s">
        <v>292</v>
      </c>
      <c r="C123" s="75"/>
      <c r="D123" s="76"/>
      <c r="E123" s="76"/>
      <c r="F123" s="76"/>
      <c r="G123" s="76"/>
      <c r="H123" s="76"/>
      <c r="I123" s="76"/>
    </row>
    <row r="124" ht="15.75" customHeight="1">
      <c r="A124" s="77" t="s">
        <v>211</v>
      </c>
      <c r="B124" s="11"/>
      <c r="C124" s="11"/>
      <c r="D124" s="78">
        <f t="shared" ref="D124:I124" si="11">SUM(D117:D123)</f>
        <v>0</v>
      </c>
      <c r="E124" s="78">
        <f t="shared" si="11"/>
        <v>0</v>
      </c>
      <c r="F124" s="78">
        <f t="shared" si="11"/>
        <v>0</v>
      </c>
      <c r="G124" s="78">
        <f t="shared" si="11"/>
        <v>0</v>
      </c>
      <c r="H124" s="78">
        <f t="shared" si="11"/>
        <v>0</v>
      </c>
      <c r="I124" s="78">
        <f t="shared" si="11"/>
        <v>0</v>
      </c>
    </row>
    <row r="125" ht="15.75" customHeight="1"/>
    <row r="126" ht="15.75" customHeight="1">
      <c r="A126" s="65" t="s">
        <v>293</v>
      </c>
      <c r="B126" s="66"/>
      <c r="C126" s="66"/>
      <c r="D126" s="66"/>
      <c r="E126" s="66"/>
      <c r="F126" s="66"/>
      <c r="G126" s="66"/>
      <c r="H126" s="66"/>
      <c r="I126" s="67"/>
    </row>
    <row r="127" ht="15.75" customHeight="1">
      <c r="A127" s="68" t="s">
        <v>192</v>
      </c>
      <c r="B127" s="68" t="s">
        <v>193</v>
      </c>
      <c r="C127" s="68" t="s">
        <v>194</v>
      </c>
      <c r="D127" s="68" t="s">
        <v>195</v>
      </c>
      <c r="E127" s="68" t="s">
        <v>196</v>
      </c>
      <c r="F127" s="68" t="s">
        <v>197</v>
      </c>
      <c r="G127" s="68" t="s">
        <v>198</v>
      </c>
      <c r="H127" s="68" t="s">
        <v>199</v>
      </c>
      <c r="I127" s="68" t="s">
        <v>200</v>
      </c>
    </row>
    <row r="128" ht="15.75" customHeight="1">
      <c r="A128" s="69" t="s">
        <v>201</v>
      </c>
      <c r="B128" s="69" t="s">
        <v>294</v>
      </c>
      <c r="C128" s="71"/>
      <c r="D128" s="72"/>
      <c r="E128" s="72"/>
      <c r="F128" s="72"/>
      <c r="G128" s="72"/>
      <c r="H128" s="72"/>
      <c r="I128" s="72"/>
    </row>
    <row r="129" ht="15.75" customHeight="1">
      <c r="A129" s="69" t="s">
        <v>203</v>
      </c>
      <c r="B129" s="69" t="s">
        <v>295</v>
      </c>
      <c r="C129" s="71"/>
      <c r="D129" s="72"/>
      <c r="E129" s="72"/>
      <c r="F129" s="72"/>
      <c r="G129" s="72"/>
      <c r="H129" s="72"/>
      <c r="I129" s="72"/>
    </row>
    <row r="130" ht="15.75" customHeight="1">
      <c r="A130" s="69" t="s">
        <v>204</v>
      </c>
      <c r="B130" s="69" t="s">
        <v>296</v>
      </c>
      <c r="C130" s="71"/>
      <c r="D130" s="72"/>
      <c r="E130" s="72"/>
      <c r="F130" s="72"/>
      <c r="G130" s="72"/>
      <c r="H130" s="72"/>
      <c r="I130" s="72"/>
    </row>
    <row r="131" ht="15.75" customHeight="1">
      <c r="A131" s="69" t="s">
        <v>205</v>
      </c>
      <c r="B131" s="69" t="s">
        <v>297</v>
      </c>
      <c r="C131" s="71"/>
      <c r="D131" s="72"/>
      <c r="E131" s="72"/>
      <c r="F131" s="72"/>
      <c r="G131" s="72"/>
      <c r="H131" s="72"/>
      <c r="I131" s="72"/>
    </row>
    <row r="132" ht="15.75" customHeight="1">
      <c r="A132" s="69" t="s">
        <v>206</v>
      </c>
      <c r="B132" s="69" t="s">
        <v>298</v>
      </c>
      <c r="C132" s="71"/>
      <c r="D132" s="72"/>
      <c r="E132" s="72"/>
      <c r="F132" s="72"/>
      <c r="G132" s="72"/>
      <c r="H132" s="72"/>
      <c r="I132" s="72"/>
    </row>
    <row r="133" ht="15.75" customHeight="1">
      <c r="A133" s="74" t="s">
        <v>207</v>
      </c>
      <c r="B133" s="74" t="s">
        <v>299</v>
      </c>
      <c r="C133" s="75"/>
      <c r="D133" s="76"/>
      <c r="E133" s="76"/>
      <c r="F133" s="76"/>
      <c r="G133" s="76"/>
      <c r="H133" s="76"/>
      <c r="I133" s="76"/>
    </row>
    <row r="134" ht="15.75" customHeight="1">
      <c r="A134" s="74" t="s">
        <v>209</v>
      </c>
      <c r="B134" s="74" t="s">
        <v>300</v>
      </c>
      <c r="C134" s="75"/>
      <c r="D134" s="76"/>
      <c r="E134" s="76"/>
      <c r="F134" s="76"/>
      <c r="G134" s="76"/>
      <c r="H134" s="76"/>
      <c r="I134" s="76"/>
    </row>
    <row r="135" ht="15.75" customHeight="1">
      <c r="A135" s="77" t="s">
        <v>211</v>
      </c>
      <c r="B135" s="11"/>
      <c r="C135" s="11"/>
      <c r="D135" s="78">
        <f t="shared" ref="D135:I135" si="12">SUM(D128:D134)</f>
        <v>0</v>
      </c>
      <c r="E135" s="78">
        <f t="shared" si="12"/>
        <v>0</v>
      </c>
      <c r="F135" s="78">
        <f t="shared" si="12"/>
        <v>0</v>
      </c>
      <c r="G135" s="78">
        <f t="shared" si="12"/>
        <v>0</v>
      </c>
      <c r="H135" s="78">
        <f t="shared" si="12"/>
        <v>0</v>
      </c>
      <c r="I135" s="78">
        <f t="shared" si="12"/>
        <v>0</v>
      </c>
    </row>
    <row r="136" ht="15.75" customHeight="1"/>
    <row r="137" ht="15.75" customHeight="1">
      <c r="A137" s="65" t="s">
        <v>301</v>
      </c>
      <c r="B137" s="66"/>
      <c r="C137" s="66"/>
      <c r="D137" s="66"/>
      <c r="E137" s="66"/>
      <c r="F137" s="66"/>
      <c r="G137" s="66"/>
      <c r="H137" s="66"/>
      <c r="I137" s="67"/>
    </row>
    <row r="138" ht="15.75" customHeight="1">
      <c r="A138" s="68" t="s">
        <v>192</v>
      </c>
      <c r="B138" s="68" t="s">
        <v>193</v>
      </c>
      <c r="C138" s="68" t="s">
        <v>194</v>
      </c>
      <c r="D138" s="68" t="s">
        <v>195</v>
      </c>
      <c r="E138" s="68" t="s">
        <v>196</v>
      </c>
      <c r="F138" s="68" t="s">
        <v>197</v>
      </c>
      <c r="G138" s="68" t="s">
        <v>198</v>
      </c>
      <c r="H138" s="68" t="s">
        <v>199</v>
      </c>
      <c r="I138" s="68" t="s">
        <v>200</v>
      </c>
    </row>
    <row r="139" ht="15.75" customHeight="1">
      <c r="A139" s="69" t="s">
        <v>201</v>
      </c>
      <c r="B139" s="69" t="s">
        <v>302</v>
      </c>
      <c r="C139" s="71"/>
      <c r="D139" s="72"/>
      <c r="E139" s="72"/>
      <c r="F139" s="72"/>
      <c r="G139" s="72"/>
      <c r="H139" s="72"/>
      <c r="I139" s="72"/>
    </row>
    <row r="140" ht="15.75" customHeight="1">
      <c r="A140" s="69" t="s">
        <v>203</v>
      </c>
      <c r="B140" s="69" t="s">
        <v>303</v>
      </c>
      <c r="C140" s="71"/>
      <c r="D140" s="72"/>
      <c r="E140" s="72"/>
      <c r="F140" s="72"/>
      <c r="G140" s="72"/>
      <c r="H140" s="72"/>
      <c r="I140" s="72"/>
    </row>
    <row r="141" ht="15.75" customHeight="1">
      <c r="A141" s="69" t="s">
        <v>204</v>
      </c>
      <c r="B141" s="69" t="s">
        <v>304</v>
      </c>
      <c r="C141" s="71"/>
      <c r="D141" s="72"/>
      <c r="E141" s="72"/>
      <c r="F141" s="72"/>
      <c r="G141" s="72"/>
      <c r="H141" s="72"/>
      <c r="I141" s="72"/>
    </row>
    <row r="142" ht="15.75" customHeight="1">
      <c r="A142" s="69" t="s">
        <v>205</v>
      </c>
      <c r="B142" s="69" t="s">
        <v>305</v>
      </c>
      <c r="C142" s="71"/>
      <c r="D142" s="72"/>
      <c r="E142" s="72"/>
      <c r="F142" s="72"/>
      <c r="G142" s="72"/>
      <c r="H142" s="72"/>
      <c r="I142" s="72"/>
    </row>
    <row r="143" ht="15.75" customHeight="1">
      <c r="A143" s="69" t="s">
        <v>206</v>
      </c>
      <c r="B143" s="69" t="s">
        <v>306</v>
      </c>
      <c r="C143" s="71"/>
      <c r="D143" s="72"/>
      <c r="E143" s="72"/>
      <c r="F143" s="72"/>
      <c r="G143" s="72"/>
      <c r="H143" s="72"/>
      <c r="I143" s="72"/>
    </row>
    <row r="144" ht="15.75" customHeight="1">
      <c r="A144" s="74" t="s">
        <v>207</v>
      </c>
      <c r="B144" s="74" t="s">
        <v>307</v>
      </c>
      <c r="C144" s="75"/>
      <c r="D144" s="76"/>
      <c r="E144" s="76"/>
      <c r="F144" s="76"/>
      <c r="G144" s="76"/>
      <c r="H144" s="76"/>
      <c r="I144" s="76"/>
    </row>
    <row r="145" ht="15.75" customHeight="1">
      <c r="A145" s="74" t="s">
        <v>209</v>
      </c>
      <c r="B145" s="74" t="s">
        <v>308</v>
      </c>
      <c r="C145" s="75"/>
      <c r="D145" s="76"/>
      <c r="E145" s="76"/>
      <c r="F145" s="76"/>
      <c r="G145" s="76"/>
      <c r="H145" s="76"/>
      <c r="I145" s="76"/>
    </row>
    <row r="146" ht="15.75" customHeight="1">
      <c r="A146" s="77" t="s">
        <v>211</v>
      </c>
      <c r="B146" s="11"/>
      <c r="C146" s="11"/>
      <c r="D146" s="78">
        <f t="shared" ref="D146:I146" si="13">SUM(D139:D145)</f>
        <v>0</v>
      </c>
      <c r="E146" s="78">
        <f t="shared" si="13"/>
        <v>0</v>
      </c>
      <c r="F146" s="78">
        <f t="shared" si="13"/>
        <v>0</v>
      </c>
      <c r="G146" s="78">
        <f t="shared" si="13"/>
        <v>0</v>
      </c>
      <c r="H146" s="78">
        <f t="shared" si="13"/>
        <v>0</v>
      </c>
      <c r="I146" s="78">
        <f t="shared" si="13"/>
        <v>0</v>
      </c>
    </row>
    <row r="147" ht="15.75" customHeight="1"/>
    <row r="148" ht="15.75" customHeight="1">
      <c r="A148" s="65" t="s">
        <v>309</v>
      </c>
      <c r="B148" s="66"/>
      <c r="C148" s="66"/>
      <c r="D148" s="66"/>
      <c r="E148" s="66"/>
      <c r="F148" s="66"/>
      <c r="G148" s="66"/>
      <c r="H148" s="66"/>
      <c r="I148" s="67"/>
    </row>
    <row r="149" ht="15.75" customHeight="1">
      <c r="A149" s="68" t="s">
        <v>192</v>
      </c>
      <c r="B149" s="68" t="s">
        <v>193</v>
      </c>
      <c r="C149" s="68" t="s">
        <v>194</v>
      </c>
      <c r="D149" s="68" t="s">
        <v>195</v>
      </c>
      <c r="E149" s="68" t="s">
        <v>196</v>
      </c>
      <c r="F149" s="68" t="s">
        <v>197</v>
      </c>
      <c r="G149" s="68" t="s">
        <v>198</v>
      </c>
      <c r="H149" s="68" t="s">
        <v>199</v>
      </c>
      <c r="I149" s="68" t="s">
        <v>200</v>
      </c>
    </row>
    <row r="150" ht="15.75" customHeight="1">
      <c r="A150" s="69" t="s">
        <v>201</v>
      </c>
      <c r="B150" s="69" t="s">
        <v>310</v>
      </c>
      <c r="C150" s="71"/>
      <c r="D150" s="72"/>
      <c r="E150" s="72"/>
      <c r="F150" s="72"/>
      <c r="G150" s="72"/>
      <c r="H150" s="72"/>
      <c r="I150" s="72"/>
    </row>
    <row r="151" ht="15.75" customHeight="1">
      <c r="A151" s="69" t="s">
        <v>203</v>
      </c>
      <c r="B151" s="69" t="s">
        <v>311</v>
      </c>
      <c r="C151" s="71"/>
      <c r="D151" s="72"/>
      <c r="E151" s="72"/>
      <c r="F151" s="72"/>
      <c r="G151" s="72"/>
      <c r="H151" s="72"/>
      <c r="I151" s="72"/>
    </row>
    <row r="152" ht="15.75" customHeight="1">
      <c r="A152" s="69" t="s">
        <v>204</v>
      </c>
      <c r="B152" s="69" t="s">
        <v>312</v>
      </c>
      <c r="C152" s="71"/>
      <c r="D152" s="72"/>
      <c r="E152" s="72"/>
      <c r="F152" s="72"/>
      <c r="G152" s="72"/>
      <c r="H152" s="72"/>
      <c r="I152" s="72"/>
    </row>
    <row r="153" ht="15.75" customHeight="1">
      <c r="A153" s="69" t="s">
        <v>205</v>
      </c>
      <c r="B153" s="69" t="s">
        <v>313</v>
      </c>
      <c r="C153" s="71"/>
      <c r="D153" s="72"/>
      <c r="E153" s="72"/>
      <c r="F153" s="72"/>
      <c r="G153" s="72"/>
      <c r="H153" s="72"/>
      <c r="I153" s="72"/>
    </row>
    <row r="154" ht="15.75" customHeight="1">
      <c r="A154" s="69" t="s">
        <v>206</v>
      </c>
      <c r="B154" s="69" t="s">
        <v>314</v>
      </c>
      <c r="C154" s="71"/>
      <c r="D154" s="72"/>
      <c r="E154" s="72"/>
      <c r="F154" s="72"/>
      <c r="G154" s="72"/>
      <c r="H154" s="72"/>
      <c r="I154" s="72"/>
    </row>
    <row r="155" ht="15.75" customHeight="1">
      <c r="A155" s="74" t="s">
        <v>207</v>
      </c>
      <c r="B155" s="74" t="s">
        <v>315</v>
      </c>
      <c r="C155" s="75"/>
      <c r="D155" s="76"/>
      <c r="E155" s="76"/>
      <c r="F155" s="76"/>
      <c r="G155" s="76"/>
      <c r="H155" s="76"/>
      <c r="I155" s="76"/>
    </row>
    <row r="156" ht="15.75" customHeight="1">
      <c r="A156" s="74" t="s">
        <v>209</v>
      </c>
      <c r="B156" s="74" t="s">
        <v>316</v>
      </c>
      <c r="C156" s="75"/>
      <c r="D156" s="76"/>
      <c r="E156" s="76"/>
      <c r="F156" s="76"/>
      <c r="G156" s="76"/>
      <c r="H156" s="76"/>
      <c r="I156" s="76"/>
    </row>
    <row r="157" ht="15.75" customHeight="1">
      <c r="A157" s="77" t="s">
        <v>211</v>
      </c>
      <c r="B157" s="11"/>
      <c r="C157" s="11"/>
      <c r="D157" s="78">
        <f t="shared" ref="D157:I157" si="14">SUM(D150:D156)</f>
        <v>0</v>
      </c>
      <c r="E157" s="78">
        <f t="shared" si="14"/>
        <v>0</v>
      </c>
      <c r="F157" s="78">
        <f t="shared" si="14"/>
        <v>0</v>
      </c>
      <c r="G157" s="78">
        <f t="shared" si="14"/>
        <v>0</v>
      </c>
      <c r="H157" s="78">
        <f t="shared" si="14"/>
        <v>0</v>
      </c>
      <c r="I157" s="78">
        <f t="shared" si="14"/>
        <v>0</v>
      </c>
    </row>
    <row r="158" ht="15.75" customHeight="1"/>
    <row r="159" ht="15.75" customHeight="1">
      <c r="A159" s="65" t="s">
        <v>317</v>
      </c>
      <c r="B159" s="66"/>
      <c r="C159" s="66"/>
      <c r="D159" s="66"/>
      <c r="E159" s="66"/>
      <c r="F159" s="66"/>
      <c r="G159" s="66"/>
      <c r="H159" s="66"/>
      <c r="I159" s="67"/>
    </row>
    <row r="160" ht="15.75" customHeight="1">
      <c r="A160" s="68" t="s">
        <v>192</v>
      </c>
      <c r="B160" s="68" t="s">
        <v>193</v>
      </c>
      <c r="C160" s="68" t="s">
        <v>194</v>
      </c>
      <c r="D160" s="68" t="s">
        <v>195</v>
      </c>
      <c r="E160" s="68" t="s">
        <v>196</v>
      </c>
      <c r="F160" s="68" t="s">
        <v>197</v>
      </c>
      <c r="G160" s="68" t="s">
        <v>198</v>
      </c>
      <c r="H160" s="68" t="s">
        <v>199</v>
      </c>
      <c r="I160" s="68" t="s">
        <v>200</v>
      </c>
    </row>
    <row r="161" ht="15.75" customHeight="1">
      <c r="A161" s="69" t="s">
        <v>201</v>
      </c>
      <c r="B161" s="69" t="s">
        <v>318</v>
      </c>
      <c r="C161" s="71"/>
      <c r="D161" s="72"/>
      <c r="E161" s="72"/>
      <c r="F161" s="72"/>
      <c r="G161" s="72"/>
      <c r="H161" s="72"/>
      <c r="I161" s="72"/>
    </row>
    <row r="162" ht="15.75" customHeight="1">
      <c r="A162" s="69" t="s">
        <v>203</v>
      </c>
      <c r="B162" s="69" t="s">
        <v>319</v>
      </c>
      <c r="C162" s="71"/>
      <c r="D162" s="72"/>
      <c r="E162" s="72"/>
      <c r="F162" s="72"/>
      <c r="G162" s="72"/>
      <c r="H162" s="72"/>
      <c r="I162" s="72"/>
    </row>
    <row r="163" ht="15.75" customHeight="1">
      <c r="A163" s="69" t="s">
        <v>204</v>
      </c>
      <c r="B163" s="69" t="s">
        <v>320</v>
      </c>
      <c r="C163" s="71"/>
      <c r="D163" s="72"/>
      <c r="E163" s="72"/>
      <c r="F163" s="72"/>
      <c r="G163" s="72"/>
      <c r="H163" s="72"/>
      <c r="I163" s="72"/>
    </row>
    <row r="164" ht="15.75" customHeight="1">
      <c r="A164" s="69" t="s">
        <v>205</v>
      </c>
      <c r="B164" s="69" t="s">
        <v>321</v>
      </c>
      <c r="C164" s="71"/>
      <c r="D164" s="72"/>
      <c r="E164" s="72"/>
      <c r="F164" s="72"/>
      <c r="G164" s="72"/>
      <c r="H164" s="72"/>
      <c r="I164" s="72"/>
    </row>
    <row r="165" ht="15.75" customHeight="1">
      <c r="A165" s="69" t="s">
        <v>206</v>
      </c>
      <c r="B165" s="69" t="s">
        <v>322</v>
      </c>
      <c r="C165" s="71"/>
      <c r="D165" s="72"/>
      <c r="E165" s="72"/>
      <c r="F165" s="72"/>
      <c r="G165" s="72"/>
      <c r="H165" s="72"/>
      <c r="I165" s="72"/>
    </row>
    <row r="166" ht="15.75" customHeight="1">
      <c r="A166" s="74" t="s">
        <v>207</v>
      </c>
      <c r="B166" s="74" t="s">
        <v>323</v>
      </c>
      <c r="C166" s="75"/>
      <c r="D166" s="76"/>
      <c r="E166" s="76"/>
      <c r="F166" s="76"/>
      <c r="G166" s="76"/>
      <c r="H166" s="76"/>
      <c r="I166" s="76"/>
    </row>
    <row r="167" ht="15.75" customHeight="1">
      <c r="A167" s="74" t="s">
        <v>209</v>
      </c>
      <c r="B167" s="74" t="s">
        <v>324</v>
      </c>
      <c r="C167" s="75"/>
      <c r="D167" s="76"/>
      <c r="E167" s="76"/>
      <c r="F167" s="76"/>
      <c r="G167" s="76"/>
      <c r="H167" s="76"/>
      <c r="I167" s="76"/>
    </row>
    <row r="168" ht="15.75" customHeight="1">
      <c r="A168" s="77" t="s">
        <v>211</v>
      </c>
      <c r="B168" s="11"/>
      <c r="C168" s="11"/>
      <c r="D168" s="78">
        <f t="shared" ref="D168:I168" si="15">SUM(D161:D167)</f>
        <v>0</v>
      </c>
      <c r="E168" s="78">
        <f t="shared" si="15"/>
        <v>0</v>
      </c>
      <c r="F168" s="78">
        <f t="shared" si="15"/>
        <v>0</v>
      </c>
      <c r="G168" s="78">
        <f t="shared" si="15"/>
        <v>0</v>
      </c>
      <c r="H168" s="78">
        <f t="shared" si="15"/>
        <v>0</v>
      </c>
      <c r="I168" s="78">
        <f t="shared" si="15"/>
        <v>0</v>
      </c>
    </row>
    <row r="169" ht="15.75" customHeight="1"/>
    <row r="170" ht="15.75" customHeight="1">
      <c r="A170" s="65" t="s">
        <v>325</v>
      </c>
      <c r="B170" s="66"/>
      <c r="C170" s="66"/>
      <c r="D170" s="66"/>
      <c r="E170" s="66"/>
      <c r="F170" s="66"/>
      <c r="G170" s="66"/>
      <c r="H170" s="66"/>
      <c r="I170" s="67"/>
    </row>
    <row r="171" ht="15.75" customHeight="1">
      <c r="A171" s="68" t="s">
        <v>192</v>
      </c>
      <c r="B171" s="68" t="s">
        <v>193</v>
      </c>
      <c r="C171" s="68" t="s">
        <v>194</v>
      </c>
      <c r="D171" s="68" t="s">
        <v>195</v>
      </c>
      <c r="E171" s="68" t="s">
        <v>196</v>
      </c>
      <c r="F171" s="68" t="s">
        <v>197</v>
      </c>
      <c r="G171" s="68" t="s">
        <v>198</v>
      </c>
      <c r="H171" s="68" t="s">
        <v>199</v>
      </c>
      <c r="I171" s="68" t="s">
        <v>200</v>
      </c>
    </row>
    <row r="172" ht="15.75" customHeight="1">
      <c r="A172" s="69" t="s">
        <v>201</v>
      </c>
      <c r="B172" s="69" t="s">
        <v>326</v>
      </c>
      <c r="C172" s="71"/>
      <c r="D172" s="72"/>
      <c r="E172" s="72"/>
      <c r="F172" s="72"/>
      <c r="G172" s="72"/>
      <c r="H172" s="72"/>
      <c r="I172" s="72"/>
    </row>
    <row r="173" ht="15.75" customHeight="1">
      <c r="A173" s="69" t="s">
        <v>203</v>
      </c>
      <c r="B173" s="69" t="s">
        <v>327</v>
      </c>
      <c r="C173" s="71"/>
      <c r="D173" s="72"/>
      <c r="E173" s="72"/>
      <c r="F173" s="72"/>
      <c r="G173" s="72"/>
      <c r="H173" s="72"/>
      <c r="I173" s="72"/>
    </row>
    <row r="174" ht="15.75" customHeight="1">
      <c r="A174" s="69" t="s">
        <v>204</v>
      </c>
      <c r="B174" s="69" t="s">
        <v>328</v>
      </c>
      <c r="C174" s="71"/>
      <c r="D174" s="72"/>
      <c r="E174" s="72"/>
      <c r="F174" s="72"/>
      <c r="G174" s="72"/>
      <c r="H174" s="72"/>
      <c r="I174" s="72"/>
    </row>
    <row r="175" ht="15.75" customHeight="1">
      <c r="A175" s="69" t="s">
        <v>205</v>
      </c>
      <c r="B175" s="69" t="s">
        <v>329</v>
      </c>
      <c r="C175" s="71"/>
      <c r="D175" s="72"/>
      <c r="E175" s="72"/>
      <c r="F175" s="72"/>
      <c r="G175" s="72"/>
      <c r="H175" s="72"/>
      <c r="I175" s="72"/>
    </row>
    <row r="176" ht="15.75" customHeight="1">
      <c r="A176" s="69" t="s">
        <v>206</v>
      </c>
      <c r="B176" s="69" t="s">
        <v>330</v>
      </c>
      <c r="C176" s="71"/>
      <c r="D176" s="72"/>
      <c r="E176" s="72"/>
      <c r="F176" s="72"/>
      <c r="G176" s="72"/>
      <c r="H176" s="72"/>
      <c r="I176" s="72"/>
    </row>
    <row r="177" ht="15.75" customHeight="1">
      <c r="A177" s="74" t="s">
        <v>207</v>
      </c>
      <c r="B177" s="74" t="s">
        <v>331</v>
      </c>
      <c r="C177" s="75"/>
      <c r="D177" s="76"/>
      <c r="E177" s="76"/>
      <c r="F177" s="76"/>
      <c r="G177" s="76"/>
      <c r="H177" s="76"/>
      <c r="I177" s="76"/>
    </row>
    <row r="178" ht="15.75" customHeight="1">
      <c r="A178" s="74" t="s">
        <v>209</v>
      </c>
      <c r="B178" s="74" t="s">
        <v>332</v>
      </c>
      <c r="C178" s="75"/>
      <c r="D178" s="76"/>
      <c r="E178" s="76"/>
      <c r="F178" s="76"/>
      <c r="G178" s="76"/>
      <c r="H178" s="76"/>
      <c r="I178" s="76"/>
    </row>
    <row r="179" ht="15.75" customHeight="1">
      <c r="A179" s="77" t="s">
        <v>211</v>
      </c>
      <c r="B179" s="11"/>
      <c r="C179" s="11"/>
      <c r="D179" s="78">
        <f t="shared" ref="D179:I179" si="16">SUM(D172:D178)</f>
        <v>0</v>
      </c>
      <c r="E179" s="78">
        <f t="shared" si="16"/>
        <v>0</v>
      </c>
      <c r="F179" s="78">
        <f t="shared" si="16"/>
        <v>0</v>
      </c>
      <c r="G179" s="78">
        <f t="shared" si="16"/>
        <v>0</v>
      </c>
      <c r="H179" s="78">
        <f t="shared" si="16"/>
        <v>0</v>
      </c>
      <c r="I179" s="78">
        <f t="shared" si="16"/>
        <v>0</v>
      </c>
    </row>
    <row r="180" ht="15.75" customHeight="1"/>
    <row r="181" ht="15.75" customHeight="1">
      <c r="A181" s="65" t="s">
        <v>333</v>
      </c>
      <c r="B181" s="66"/>
      <c r="C181" s="66"/>
      <c r="D181" s="66"/>
      <c r="E181" s="66"/>
      <c r="F181" s="66"/>
      <c r="G181" s="66"/>
      <c r="H181" s="66"/>
      <c r="I181" s="67"/>
    </row>
    <row r="182" ht="15.75" customHeight="1">
      <c r="A182" s="68" t="s">
        <v>192</v>
      </c>
      <c r="B182" s="68" t="s">
        <v>193</v>
      </c>
      <c r="C182" s="68" t="s">
        <v>194</v>
      </c>
      <c r="D182" s="68" t="s">
        <v>195</v>
      </c>
      <c r="E182" s="68" t="s">
        <v>196</v>
      </c>
      <c r="F182" s="68" t="s">
        <v>197</v>
      </c>
      <c r="G182" s="68" t="s">
        <v>198</v>
      </c>
      <c r="H182" s="68" t="s">
        <v>199</v>
      </c>
      <c r="I182" s="68" t="s">
        <v>200</v>
      </c>
    </row>
    <row r="183" ht="15.75" customHeight="1">
      <c r="A183" s="69" t="s">
        <v>201</v>
      </c>
      <c r="B183" s="69" t="s">
        <v>334</v>
      </c>
      <c r="C183" s="71"/>
      <c r="D183" s="72"/>
      <c r="E183" s="72"/>
      <c r="F183" s="72"/>
      <c r="G183" s="72"/>
      <c r="H183" s="72"/>
      <c r="I183" s="72"/>
    </row>
    <row r="184" ht="15.75" customHeight="1">
      <c r="A184" s="69" t="s">
        <v>203</v>
      </c>
      <c r="B184" s="69" t="s">
        <v>335</v>
      </c>
      <c r="C184" s="71"/>
      <c r="D184" s="72"/>
      <c r="E184" s="72"/>
      <c r="F184" s="72"/>
      <c r="G184" s="72"/>
      <c r="H184" s="72"/>
      <c r="I184" s="72"/>
    </row>
    <row r="185" ht="15.75" customHeight="1">
      <c r="A185" s="69" t="s">
        <v>204</v>
      </c>
      <c r="B185" s="69" t="s">
        <v>336</v>
      </c>
      <c r="C185" s="71"/>
      <c r="D185" s="72"/>
      <c r="E185" s="72"/>
      <c r="F185" s="72"/>
      <c r="G185" s="72"/>
      <c r="H185" s="72"/>
      <c r="I185" s="72"/>
    </row>
    <row r="186" ht="15.75" customHeight="1">
      <c r="A186" s="69" t="s">
        <v>205</v>
      </c>
      <c r="B186" s="69" t="s">
        <v>337</v>
      </c>
      <c r="C186" s="71"/>
      <c r="D186" s="72"/>
      <c r="E186" s="72"/>
      <c r="F186" s="72"/>
      <c r="G186" s="72"/>
      <c r="H186" s="72"/>
      <c r="I186" s="72"/>
    </row>
    <row r="187" ht="15.75" customHeight="1">
      <c r="A187" s="69" t="s">
        <v>206</v>
      </c>
      <c r="B187" s="69" t="s">
        <v>338</v>
      </c>
      <c r="C187" s="71"/>
      <c r="D187" s="72"/>
      <c r="E187" s="72"/>
      <c r="F187" s="72"/>
      <c r="G187" s="72"/>
      <c r="H187" s="72"/>
      <c r="I187" s="72"/>
    </row>
    <row r="188" ht="15.75" customHeight="1">
      <c r="A188" s="74" t="s">
        <v>207</v>
      </c>
      <c r="B188" s="74" t="s">
        <v>339</v>
      </c>
      <c r="C188" s="75"/>
      <c r="D188" s="76"/>
      <c r="E188" s="76"/>
      <c r="F188" s="76"/>
      <c r="G188" s="76"/>
      <c r="H188" s="76"/>
      <c r="I188" s="76"/>
    </row>
    <row r="189" ht="15.75" customHeight="1">
      <c r="A189" s="74" t="s">
        <v>209</v>
      </c>
      <c r="B189" s="74" t="s">
        <v>340</v>
      </c>
      <c r="C189" s="75"/>
      <c r="D189" s="76"/>
      <c r="E189" s="76"/>
      <c r="F189" s="76"/>
      <c r="G189" s="76"/>
      <c r="H189" s="76"/>
      <c r="I189" s="76"/>
    </row>
    <row r="190" ht="15.75" customHeight="1">
      <c r="A190" s="77" t="s">
        <v>211</v>
      </c>
      <c r="B190" s="11"/>
      <c r="C190" s="11"/>
      <c r="D190" s="78">
        <f t="shared" ref="D190:I190" si="17">SUM(D183:D189)</f>
        <v>0</v>
      </c>
      <c r="E190" s="78">
        <f t="shared" si="17"/>
        <v>0</v>
      </c>
      <c r="F190" s="78">
        <f t="shared" si="17"/>
        <v>0</v>
      </c>
      <c r="G190" s="78">
        <f t="shared" si="17"/>
        <v>0</v>
      </c>
      <c r="H190" s="78">
        <f t="shared" si="17"/>
        <v>0</v>
      </c>
      <c r="I190" s="78">
        <f t="shared" si="17"/>
        <v>0</v>
      </c>
    </row>
    <row r="191" ht="15.75" customHeight="1"/>
    <row r="192" ht="15.75" customHeight="1">
      <c r="A192" s="65" t="s">
        <v>341</v>
      </c>
      <c r="B192" s="66"/>
      <c r="C192" s="66"/>
      <c r="D192" s="66"/>
      <c r="E192" s="66"/>
      <c r="F192" s="66"/>
      <c r="G192" s="66"/>
      <c r="H192" s="66"/>
      <c r="I192" s="67"/>
    </row>
    <row r="193" ht="15.75" customHeight="1">
      <c r="A193" s="68" t="s">
        <v>192</v>
      </c>
      <c r="B193" s="68" t="s">
        <v>193</v>
      </c>
      <c r="C193" s="68" t="s">
        <v>194</v>
      </c>
      <c r="D193" s="68" t="s">
        <v>195</v>
      </c>
      <c r="E193" s="68" t="s">
        <v>196</v>
      </c>
      <c r="F193" s="68" t="s">
        <v>197</v>
      </c>
      <c r="G193" s="68" t="s">
        <v>198</v>
      </c>
      <c r="H193" s="68" t="s">
        <v>199</v>
      </c>
      <c r="I193" s="68" t="s">
        <v>200</v>
      </c>
    </row>
    <row r="194" ht="15.75" customHeight="1">
      <c r="A194" s="69" t="s">
        <v>201</v>
      </c>
      <c r="B194" s="69" t="s">
        <v>342</v>
      </c>
      <c r="C194" s="71"/>
      <c r="D194" s="72"/>
      <c r="E194" s="72"/>
      <c r="F194" s="72"/>
      <c r="G194" s="72"/>
      <c r="H194" s="72"/>
      <c r="I194" s="72"/>
    </row>
    <row r="195" ht="15.75" customHeight="1">
      <c r="A195" s="69" t="s">
        <v>203</v>
      </c>
      <c r="B195" s="69" t="s">
        <v>343</v>
      </c>
      <c r="C195" s="71"/>
      <c r="D195" s="72"/>
      <c r="E195" s="72"/>
      <c r="F195" s="72"/>
      <c r="G195" s="72"/>
      <c r="H195" s="72"/>
      <c r="I195" s="72"/>
    </row>
    <row r="196" ht="15.75" customHeight="1">
      <c r="A196" s="69" t="s">
        <v>204</v>
      </c>
      <c r="B196" s="69" t="s">
        <v>344</v>
      </c>
      <c r="C196" s="71"/>
      <c r="D196" s="72"/>
      <c r="E196" s="72"/>
      <c r="F196" s="72"/>
      <c r="G196" s="72"/>
      <c r="H196" s="72"/>
      <c r="I196" s="72"/>
    </row>
    <row r="197" ht="15.75" customHeight="1">
      <c r="A197" s="69" t="s">
        <v>205</v>
      </c>
      <c r="B197" s="69" t="s">
        <v>345</v>
      </c>
      <c r="C197" s="71"/>
      <c r="D197" s="72"/>
      <c r="E197" s="72"/>
      <c r="F197" s="72"/>
      <c r="G197" s="72"/>
      <c r="H197" s="72"/>
      <c r="I197" s="72"/>
    </row>
    <row r="198" ht="15.75" customHeight="1">
      <c r="A198" s="69" t="s">
        <v>206</v>
      </c>
      <c r="B198" s="69" t="s">
        <v>346</v>
      </c>
      <c r="C198" s="71"/>
      <c r="D198" s="72"/>
      <c r="E198" s="72"/>
      <c r="F198" s="72"/>
      <c r="G198" s="72"/>
      <c r="H198" s="72"/>
      <c r="I198" s="72"/>
    </row>
    <row r="199" ht="15.75" customHeight="1">
      <c r="A199" s="74" t="s">
        <v>207</v>
      </c>
      <c r="B199" s="74" t="s">
        <v>347</v>
      </c>
      <c r="C199" s="75"/>
      <c r="D199" s="76"/>
      <c r="E199" s="76"/>
      <c r="F199" s="76"/>
      <c r="G199" s="76"/>
      <c r="H199" s="76"/>
      <c r="I199" s="76"/>
    </row>
    <row r="200" ht="15.75" customHeight="1">
      <c r="A200" s="74" t="s">
        <v>209</v>
      </c>
      <c r="B200" s="74" t="s">
        <v>348</v>
      </c>
      <c r="C200" s="75"/>
      <c r="D200" s="76"/>
      <c r="E200" s="76"/>
      <c r="F200" s="76"/>
      <c r="G200" s="76"/>
      <c r="H200" s="76"/>
      <c r="I200" s="76"/>
    </row>
    <row r="201" ht="15.75" customHeight="1">
      <c r="A201" s="77" t="s">
        <v>211</v>
      </c>
      <c r="B201" s="11"/>
      <c r="C201" s="11"/>
      <c r="D201" s="78">
        <f t="shared" ref="D201:I201" si="18">SUM(D194:D200)</f>
        <v>0</v>
      </c>
      <c r="E201" s="78">
        <f t="shared" si="18"/>
        <v>0</v>
      </c>
      <c r="F201" s="78">
        <f t="shared" si="18"/>
        <v>0</v>
      </c>
      <c r="G201" s="78">
        <f t="shared" si="18"/>
        <v>0</v>
      </c>
      <c r="H201" s="78">
        <f t="shared" si="18"/>
        <v>0</v>
      </c>
      <c r="I201" s="78">
        <f t="shared" si="18"/>
        <v>0</v>
      </c>
    </row>
    <row r="202" ht="15.75" customHeight="1"/>
    <row r="203" ht="15.75" customHeight="1">
      <c r="A203" s="65" t="s">
        <v>349</v>
      </c>
      <c r="B203" s="66"/>
      <c r="C203" s="66"/>
      <c r="D203" s="66"/>
      <c r="E203" s="66"/>
      <c r="F203" s="66"/>
      <c r="G203" s="66"/>
      <c r="H203" s="66"/>
      <c r="I203" s="67"/>
    </row>
    <row r="204" ht="15.75" customHeight="1">
      <c r="A204" s="68" t="s">
        <v>192</v>
      </c>
      <c r="B204" s="68" t="s">
        <v>193</v>
      </c>
      <c r="C204" s="68" t="s">
        <v>194</v>
      </c>
      <c r="D204" s="68" t="s">
        <v>195</v>
      </c>
      <c r="E204" s="68" t="s">
        <v>196</v>
      </c>
      <c r="F204" s="68" t="s">
        <v>197</v>
      </c>
      <c r="G204" s="68" t="s">
        <v>198</v>
      </c>
      <c r="H204" s="68" t="s">
        <v>199</v>
      </c>
      <c r="I204" s="68" t="s">
        <v>200</v>
      </c>
    </row>
    <row r="205" ht="15.75" customHeight="1">
      <c r="A205" s="69" t="s">
        <v>201</v>
      </c>
      <c r="B205" s="69" t="s">
        <v>350</v>
      </c>
      <c r="C205" s="71"/>
      <c r="D205" s="72"/>
      <c r="E205" s="72"/>
      <c r="F205" s="72"/>
      <c r="G205" s="72"/>
      <c r="H205" s="72"/>
      <c r="I205" s="72"/>
    </row>
    <row r="206" ht="15.75" customHeight="1">
      <c r="A206" s="69" t="s">
        <v>203</v>
      </c>
      <c r="B206" s="69" t="s">
        <v>351</v>
      </c>
      <c r="C206" s="71"/>
      <c r="D206" s="72"/>
      <c r="E206" s="72"/>
      <c r="F206" s="72"/>
      <c r="G206" s="72"/>
      <c r="H206" s="72"/>
      <c r="I206" s="72"/>
    </row>
    <row r="207" ht="15.75" customHeight="1">
      <c r="A207" s="69" t="s">
        <v>204</v>
      </c>
      <c r="B207" s="69" t="s">
        <v>352</v>
      </c>
      <c r="C207" s="71"/>
      <c r="D207" s="72"/>
      <c r="E207" s="72"/>
      <c r="F207" s="72"/>
      <c r="G207" s="72"/>
      <c r="H207" s="72"/>
      <c r="I207" s="72"/>
    </row>
    <row r="208" ht="15.75" customHeight="1">
      <c r="A208" s="69" t="s">
        <v>205</v>
      </c>
      <c r="B208" s="69" t="s">
        <v>353</v>
      </c>
      <c r="C208" s="71"/>
      <c r="D208" s="72"/>
      <c r="E208" s="72"/>
      <c r="F208" s="72"/>
      <c r="G208" s="72"/>
      <c r="H208" s="72"/>
      <c r="I208" s="72"/>
    </row>
    <row r="209" ht="15.75" customHeight="1">
      <c r="A209" s="69" t="s">
        <v>206</v>
      </c>
      <c r="B209" s="69" t="s">
        <v>354</v>
      </c>
      <c r="C209" s="71"/>
      <c r="D209" s="72"/>
      <c r="E209" s="72"/>
      <c r="F209" s="72"/>
      <c r="G209" s="72"/>
      <c r="H209" s="72"/>
      <c r="I209" s="72"/>
    </row>
    <row r="210" ht="15.75" customHeight="1">
      <c r="A210" s="74" t="s">
        <v>207</v>
      </c>
      <c r="B210" s="74" t="s">
        <v>355</v>
      </c>
      <c r="C210" s="75"/>
      <c r="D210" s="76"/>
      <c r="E210" s="76"/>
      <c r="F210" s="76"/>
      <c r="G210" s="76"/>
      <c r="H210" s="76"/>
      <c r="I210" s="76"/>
    </row>
    <row r="211" ht="15.75" customHeight="1">
      <c r="A211" s="74" t="s">
        <v>209</v>
      </c>
      <c r="B211" s="74" t="s">
        <v>356</v>
      </c>
      <c r="C211" s="75"/>
      <c r="D211" s="76"/>
      <c r="E211" s="76"/>
      <c r="F211" s="76"/>
      <c r="G211" s="76"/>
      <c r="H211" s="76"/>
      <c r="I211" s="76"/>
    </row>
    <row r="212" ht="15.75" customHeight="1">
      <c r="A212" s="77" t="s">
        <v>211</v>
      </c>
      <c r="B212" s="11"/>
      <c r="C212" s="11"/>
      <c r="D212" s="78">
        <f t="shared" ref="D212:I212" si="19">SUM(D205:D211)</f>
        <v>0</v>
      </c>
      <c r="E212" s="78">
        <f t="shared" si="19"/>
        <v>0</v>
      </c>
      <c r="F212" s="78">
        <f t="shared" si="19"/>
        <v>0</v>
      </c>
      <c r="G212" s="78">
        <f t="shared" si="19"/>
        <v>0</v>
      </c>
      <c r="H212" s="78">
        <f t="shared" si="19"/>
        <v>0</v>
      </c>
      <c r="I212" s="78">
        <f t="shared" si="19"/>
        <v>0</v>
      </c>
    </row>
    <row r="213" ht="15.75" customHeight="1"/>
    <row r="214" ht="15.75" customHeight="1">
      <c r="A214" s="65" t="s">
        <v>357</v>
      </c>
      <c r="B214" s="66"/>
      <c r="C214" s="66"/>
      <c r="D214" s="66"/>
      <c r="E214" s="66"/>
      <c r="F214" s="66"/>
      <c r="G214" s="66"/>
      <c r="H214" s="66"/>
      <c r="I214" s="67"/>
    </row>
    <row r="215" ht="15.75" customHeight="1">
      <c r="A215" s="68" t="s">
        <v>192</v>
      </c>
      <c r="B215" s="68" t="s">
        <v>193</v>
      </c>
      <c r="C215" s="68" t="s">
        <v>194</v>
      </c>
      <c r="D215" s="68" t="s">
        <v>195</v>
      </c>
      <c r="E215" s="68" t="s">
        <v>196</v>
      </c>
      <c r="F215" s="68" t="s">
        <v>197</v>
      </c>
      <c r="G215" s="68" t="s">
        <v>198</v>
      </c>
      <c r="H215" s="68" t="s">
        <v>199</v>
      </c>
      <c r="I215" s="68" t="s">
        <v>200</v>
      </c>
    </row>
    <row r="216" ht="15.75" customHeight="1">
      <c r="A216" s="69" t="s">
        <v>201</v>
      </c>
      <c r="B216" s="69" t="s">
        <v>358</v>
      </c>
      <c r="C216" s="71"/>
      <c r="D216" s="72"/>
      <c r="E216" s="72"/>
      <c r="F216" s="72"/>
      <c r="G216" s="72"/>
      <c r="H216" s="72"/>
      <c r="I216" s="72"/>
    </row>
    <row r="217" ht="15.75" customHeight="1">
      <c r="A217" s="69" t="s">
        <v>203</v>
      </c>
      <c r="B217" s="69" t="s">
        <v>359</v>
      </c>
      <c r="C217" s="71"/>
      <c r="D217" s="72"/>
      <c r="E217" s="72"/>
      <c r="F217" s="72"/>
      <c r="G217" s="72"/>
      <c r="H217" s="72"/>
      <c r="I217" s="72"/>
    </row>
    <row r="218" ht="15.75" customHeight="1">
      <c r="A218" s="69" t="s">
        <v>204</v>
      </c>
      <c r="B218" s="69" t="s">
        <v>360</v>
      </c>
      <c r="C218" s="71"/>
      <c r="D218" s="72"/>
      <c r="E218" s="72"/>
      <c r="F218" s="72"/>
      <c r="G218" s="72"/>
      <c r="H218" s="72"/>
      <c r="I218" s="72"/>
    </row>
    <row r="219" ht="15.75" customHeight="1">
      <c r="A219" s="69" t="s">
        <v>205</v>
      </c>
      <c r="B219" s="69" t="s">
        <v>361</v>
      </c>
      <c r="C219" s="71"/>
      <c r="D219" s="72"/>
      <c r="E219" s="72"/>
      <c r="F219" s="72"/>
      <c r="G219" s="72"/>
      <c r="H219" s="72"/>
      <c r="I219" s="72"/>
    </row>
    <row r="220" ht="15.75" customHeight="1">
      <c r="A220" s="69" t="s">
        <v>206</v>
      </c>
      <c r="B220" s="69" t="s">
        <v>362</v>
      </c>
      <c r="C220" s="71"/>
      <c r="D220" s="72"/>
      <c r="E220" s="72"/>
      <c r="F220" s="72"/>
      <c r="G220" s="72"/>
      <c r="H220" s="72"/>
      <c r="I220" s="72"/>
    </row>
    <row r="221" ht="15.75" customHeight="1">
      <c r="A221" s="74" t="s">
        <v>207</v>
      </c>
      <c r="B221" s="74" t="s">
        <v>363</v>
      </c>
      <c r="C221" s="75"/>
      <c r="D221" s="76"/>
      <c r="E221" s="76"/>
      <c r="F221" s="76"/>
      <c r="G221" s="76"/>
      <c r="H221" s="76"/>
      <c r="I221" s="76"/>
    </row>
    <row r="222" ht="15.75" customHeight="1">
      <c r="A222" s="74" t="s">
        <v>209</v>
      </c>
      <c r="B222" s="74" t="s">
        <v>364</v>
      </c>
      <c r="C222" s="75"/>
      <c r="D222" s="76"/>
      <c r="E222" s="76"/>
      <c r="F222" s="76"/>
      <c r="G222" s="76"/>
      <c r="H222" s="76"/>
      <c r="I222" s="76"/>
    </row>
    <row r="223" ht="15.75" customHeight="1">
      <c r="A223" s="77" t="s">
        <v>211</v>
      </c>
      <c r="B223" s="11"/>
      <c r="C223" s="11"/>
      <c r="D223" s="78">
        <f t="shared" ref="D223:I223" si="20">SUM(D216:D222)</f>
        <v>0</v>
      </c>
      <c r="E223" s="78">
        <f t="shared" si="20"/>
        <v>0</v>
      </c>
      <c r="F223" s="78">
        <f t="shared" si="20"/>
        <v>0</v>
      </c>
      <c r="G223" s="78">
        <f t="shared" si="20"/>
        <v>0</v>
      </c>
      <c r="H223" s="78">
        <f t="shared" si="20"/>
        <v>0</v>
      </c>
      <c r="I223" s="78">
        <f t="shared" si="20"/>
        <v>0</v>
      </c>
    </row>
    <row r="224" ht="15.75" customHeight="1"/>
    <row r="225" ht="15.75" customHeight="1">
      <c r="A225" s="65" t="s">
        <v>365</v>
      </c>
      <c r="B225" s="66"/>
      <c r="C225" s="66"/>
      <c r="D225" s="66"/>
      <c r="E225" s="66"/>
      <c r="F225" s="66"/>
      <c r="G225" s="66"/>
      <c r="H225" s="66"/>
      <c r="I225" s="67"/>
    </row>
    <row r="226" ht="15.75" customHeight="1">
      <c r="A226" s="68" t="s">
        <v>192</v>
      </c>
      <c r="B226" s="68" t="s">
        <v>193</v>
      </c>
      <c r="C226" s="68" t="s">
        <v>194</v>
      </c>
      <c r="D226" s="68" t="s">
        <v>195</v>
      </c>
      <c r="E226" s="68" t="s">
        <v>196</v>
      </c>
      <c r="F226" s="68" t="s">
        <v>197</v>
      </c>
      <c r="G226" s="68" t="s">
        <v>198</v>
      </c>
      <c r="H226" s="68" t="s">
        <v>199</v>
      </c>
      <c r="I226" s="68" t="s">
        <v>200</v>
      </c>
    </row>
    <row r="227" ht="15.75" customHeight="1">
      <c r="A227" s="69" t="s">
        <v>201</v>
      </c>
      <c r="B227" s="69" t="s">
        <v>366</v>
      </c>
      <c r="C227" s="71"/>
      <c r="D227" s="72"/>
      <c r="E227" s="72"/>
      <c r="F227" s="72"/>
      <c r="G227" s="72"/>
      <c r="H227" s="72"/>
      <c r="I227" s="72"/>
    </row>
    <row r="228" ht="15.75" customHeight="1">
      <c r="A228" s="69" t="s">
        <v>203</v>
      </c>
      <c r="B228" s="69" t="s">
        <v>367</v>
      </c>
      <c r="C228" s="71"/>
      <c r="D228" s="72"/>
      <c r="E228" s="72"/>
      <c r="F228" s="72"/>
      <c r="G228" s="72"/>
      <c r="H228" s="72"/>
      <c r="I228" s="72"/>
    </row>
    <row r="229" ht="15.75" customHeight="1">
      <c r="A229" s="69" t="s">
        <v>204</v>
      </c>
      <c r="B229" s="69" t="s">
        <v>368</v>
      </c>
      <c r="C229" s="71"/>
      <c r="D229" s="72"/>
      <c r="E229" s="72"/>
      <c r="F229" s="72"/>
      <c r="G229" s="72"/>
      <c r="H229" s="72"/>
      <c r="I229" s="72"/>
    </row>
    <row r="230" ht="15.75" customHeight="1">
      <c r="A230" s="69" t="s">
        <v>205</v>
      </c>
      <c r="B230" s="69" t="s">
        <v>369</v>
      </c>
      <c r="C230" s="71"/>
      <c r="D230" s="72"/>
      <c r="E230" s="72"/>
      <c r="F230" s="72"/>
      <c r="G230" s="72"/>
      <c r="H230" s="72"/>
      <c r="I230" s="72"/>
    </row>
    <row r="231" ht="15.75" customHeight="1">
      <c r="A231" s="69" t="s">
        <v>206</v>
      </c>
      <c r="B231" s="69" t="s">
        <v>370</v>
      </c>
      <c r="C231" s="71"/>
      <c r="D231" s="72"/>
      <c r="E231" s="72"/>
      <c r="F231" s="72"/>
      <c r="G231" s="72"/>
      <c r="H231" s="72"/>
      <c r="I231" s="72"/>
    </row>
    <row r="232" ht="15.75" customHeight="1">
      <c r="A232" s="74" t="s">
        <v>207</v>
      </c>
      <c r="B232" s="74" t="s">
        <v>371</v>
      </c>
      <c r="C232" s="75"/>
      <c r="D232" s="76"/>
      <c r="E232" s="76"/>
      <c r="F232" s="76"/>
      <c r="G232" s="76"/>
      <c r="H232" s="76"/>
      <c r="I232" s="76"/>
    </row>
    <row r="233" ht="15.75" customHeight="1">
      <c r="A233" s="74" t="s">
        <v>209</v>
      </c>
      <c r="B233" s="74" t="s">
        <v>372</v>
      </c>
      <c r="C233" s="75"/>
      <c r="D233" s="76"/>
      <c r="E233" s="76"/>
      <c r="F233" s="76"/>
      <c r="G233" s="76"/>
      <c r="H233" s="76"/>
      <c r="I233" s="76"/>
    </row>
    <row r="234" ht="15.75" customHeight="1">
      <c r="A234" s="77" t="s">
        <v>211</v>
      </c>
      <c r="B234" s="11"/>
      <c r="C234" s="11"/>
      <c r="D234" s="78">
        <f t="shared" ref="D234:I234" si="21">SUM(D227:D233)</f>
        <v>0</v>
      </c>
      <c r="E234" s="78">
        <f t="shared" si="21"/>
        <v>0</v>
      </c>
      <c r="F234" s="78">
        <f t="shared" si="21"/>
        <v>0</v>
      </c>
      <c r="G234" s="78">
        <f t="shared" si="21"/>
        <v>0</v>
      </c>
      <c r="H234" s="78">
        <f t="shared" si="21"/>
        <v>0</v>
      </c>
      <c r="I234" s="78">
        <f t="shared" si="21"/>
        <v>0</v>
      </c>
    </row>
    <row r="235" ht="15.75" customHeight="1"/>
    <row r="236" ht="15.75" customHeight="1">
      <c r="A236" s="65" t="s">
        <v>373</v>
      </c>
      <c r="B236" s="66"/>
      <c r="C236" s="66"/>
      <c r="D236" s="66"/>
      <c r="E236" s="66"/>
      <c r="F236" s="66"/>
      <c r="G236" s="66"/>
      <c r="H236" s="66"/>
      <c r="I236" s="67"/>
    </row>
    <row r="237" ht="15.75" customHeight="1">
      <c r="A237" s="68" t="s">
        <v>192</v>
      </c>
      <c r="B237" s="68" t="s">
        <v>193</v>
      </c>
      <c r="C237" s="68" t="s">
        <v>194</v>
      </c>
      <c r="D237" s="68" t="s">
        <v>195</v>
      </c>
      <c r="E237" s="68" t="s">
        <v>196</v>
      </c>
      <c r="F237" s="68" t="s">
        <v>197</v>
      </c>
      <c r="G237" s="68" t="s">
        <v>198</v>
      </c>
      <c r="H237" s="68" t="s">
        <v>199</v>
      </c>
      <c r="I237" s="68" t="s">
        <v>200</v>
      </c>
    </row>
    <row r="238" ht="15.75" customHeight="1">
      <c r="A238" s="69" t="s">
        <v>201</v>
      </c>
      <c r="B238" s="69" t="s">
        <v>374</v>
      </c>
      <c r="C238" s="71"/>
      <c r="D238" s="72"/>
      <c r="E238" s="72"/>
      <c r="F238" s="72"/>
      <c r="G238" s="72"/>
      <c r="H238" s="72"/>
      <c r="I238" s="72"/>
    </row>
    <row r="239" ht="15.75" customHeight="1">
      <c r="A239" s="69" t="s">
        <v>203</v>
      </c>
      <c r="B239" s="69" t="s">
        <v>375</v>
      </c>
      <c r="C239" s="71"/>
      <c r="D239" s="72"/>
      <c r="E239" s="72"/>
      <c r="F239" s="72"/>
      <c r="G239" s="72"/>
      <c r="H239" s="72"/>
      <c r="I239" s="72"/>
    </row>
    <row r="240" ht="15.75" customHeight="1">
      <c r="A240" s="69" t="s">
        <v>204</v>
      </c>
      <c r="B240" s="69" t="s">
        <v>376</v>
      </c>
      <c r="C240" s="71"/>
      <c r="D240" s="72"/>
      <c r="E240" s="72"/>
      <c r="F240" s="72"/>
      <c r="G240" s="72"/>
      <c r="H240" s="72"/>
      <c r="I240" s="72"/>
    </row>
    <row r="241" ht="15.75" customHeight="1">
      <c r="A241" s="69" t="s">
        <v>205</v>
      </c>
      <c r="B241" s="69" t="s">
        <v>377</v>
      </c>
      <c r="C241" s="71"/>
      <c r="D241" s="72"/>
      <c r="E241" s="72"/>
      <c r="F241" s="72"/>
      <c r="G241" s="72"/>
      <c r="H241" s="72"/>
      <c r="I241" s="72"/>
    </row>
    <row r="242" ht="15.75" customHeight="1">
      <c r="A242" s="69" t="s">
        <v>206</v>
      </c>
      <c r="B242" s="69" t="s">
        <v>378</v>
      </c>
      <c r="C242" s="71"/>
      <c r="D242" s="72"/>
      <c r="E242" s="72"/>
      <c r="F242" s="72"/>
      <c r="G242" s="72"/>
      <c r="H242" s="72"/>
      <c r="I242" s="72"/>
    </row>
    <row r="243" ht="15.75" customHeight="1">
      <c r="A243" s="74" t="s">
        <v>207</v>
      </c>
      <c r="B243" s="74" t="s">
        <v>379</v>
      </c>
      <c r="C243" s="75"/>
      <c r="D243" s="76"/>
      <c r="E243" s="76"/>
      <c r="F243" s="76"/>
      <c r="G243" s="76"/>
      <c r="H243" s="76"/>
      <c r="I243" s="76"/>
    </row>
    <row r="244" ht="15.75" customHeight="1">
      <c r="A244" s="74" t="s">
        <v>209</v>
      </c>
      <c r="B244" s="74" t="s">
        <v>380</v>
      </c>
      <c r="C244" s="75"/>
      <c r="D244" s="76"/>
      <c r="E244" s="76"/>
      <c r="F244" s="76"/>
      <c r="G244" s="76"/>
      <c r="H244" s="76"/>
      <c r="I244" s="76"/>
    </row>
    <row r="245" ht="15.75" customHeight="1">
      <c r="A245" s="77" t="s">
        <v>211</v>
      </c>
      <c r="B245" s="11"/>
      <c r="C245" s="11"/>
      <c r="D245" s="78">
        <f t="shared" ref="D245:I245" si="22">SUM(D238:D244)</f>
        <v>0</v>
      </c>
      <c r="E245" s="78">
        <f t="shared" si="22"/>
        <v>0</v>
      </c>
      <c r="F245" s="78">
        <f t="shared" si="22"/>
        <v>0</v>
      </c>
      <c r="G245" s="78">
        <f t="shared" si="22"/>
        <v>0</v>
      </c>
      <c r="H245" s="78">
        <f t="shared" si="22"/>
        <v>0</v>
      </c>
      <c r="I245" s="78">
        <f t="shared" si="22"/>
        <v>0</v>
      </c>
    </row>
    <row r="246" ht="15.75" customHeight="1"/>
    <row r="247" ht="15.75" customHeight="1">
      <c r="A247" s="65" t="s">
        <v>381</v>
      </c>
      <c r="B247" s="66"/>
      <c r="C247" s="66"/>
      <c r="D247" s="66"/>
      <c r="E247" s="66"/>
      <c r="F247" s="66"/>
      <c r="G247" s="66"/>
      <c r="H247" s="66"/>
      <c r="I247" s="67"/>
    </row>
    <row r="248" ht="15.75" customHeight="1">
      <c r="A248" s="68" t="s">
        <v>192</v>
      </c>
      <c r="B248" s="68" t="s">
        <v>193</v>
      </c>
      <c r="C248" s="68" t="s">
        <v>194</v>
      </c>
      <c r="D248" s="68" t="s">
        <v>195</v>
      </c>
      <c r="E248" s="68" t="s">
        <v>196</v>
      </c>
      <c r="F248" s="68" t="s">
        <v>197</v>
      </c>
      <c r="G248" s="68" t="s">
        <v>198</v>
      </c>
      <c r="H248" s="68" t="s">
        <v>199</v>
      </c>
      <c r="I248" s="68" t="s">
        <v>200</v>
      </c>
    </row>
    <row r="249" ht="15.75" customHeight="1">
      <c r="A249" s="69" t="s">
        <v>201</v>
      </c>
      <c r="B249" s="69" t="s">
        <v>382</v>
      </c>
      <c r="C249" s="71"/>
      <c r="D249" s="72"/>
      <c r="E249" s="72"/>
      <c r="F249" s="72"/>
      <c r="G249" s="72"/>
      <c r="H249" s="72"/>
      <c r="I249" s="72"/>
    </row>
    <row r="250" ht="15.75" customHeight="1">
      <c r="A250" s="69" t="s">
        <v>203</v>
      </c>
      <c r="B250" s="69" t="s">
        <v>383</v>
      </c>
      <c r="C250" s="71"/>
      <c r="D250" s="72"/>
      <c r="E250" s="72"/>
      <c r="F250" s="72"/>
      <c r="G250" s="72"/>
      <c r="H250" s="72"/>
      <c r="I250" s="72"/>
    </row>
    <row r="251" ht="15.75" customHeight="1">
      <c r="A251" s="69" t="s">
        <v>204</v>
      </c>
      <c r="B251" s="69" t="s">
        <v>384</v>
      </c>
      <c r="C251" s="71"/>
      <c r="D251" s="72"/>
      <c r="E251" s="72"/>
      <c r="F251" s="72"/>
      <c r="G251" s="72"/>
      <c r="H251" s="72"/>
      <c r="I251" s="72"/>
    </row>
    <row r="252" ht="15.75" customHeight="1">
      <c r="A252" s="69" t="s">
        <v>205</v>
      </c>
      <c r="B252" s="69" t="s">
        <v>385</v>
      </c>
      <c r="C252" s="71"/>
      <c r="D252" s="72"/>
      <c r="E252" s="72"/>
      <c r="F252" s="72"/>
      <c r="G252" s="72"/>
      <c r="H252" s="72"/>
      <c r="I252" s="72"/>
    </row>
    <row r="253" ht="15.75" customHeight="1">
      <c r="A253" s="69" t="s">
        <v>206</v>
      </c>
      <c r="B253" s="69" t="s">
        <v>386</v>
      </c>
      <c r="C253" s="71"/>
      <c r="D253" s="72"/>
      <c r="E253" s="72"/>
      <c r="F253" s="72"/>
      <c r="G253" s="72"/>
      <c r="H253" s="72"/>
      <c r="I253" s="72"/>
    </row>
    <row r="254" ht="15.75" customHeight="1">
      <c r="A254" s="74" t="s">
        <v>207</v>
      </c>
      <c r="B254" s="74" t="s">
        <v>387</v>
      </c>
      <c r="C254" s="75"/>
      <c r="D254" s="76"/>
      <c r="E254" s="76"/>
      <c r="F254" s="76"/>
      <c r="G254" s="76"/>
      <c r="H254" s="76"/>
      <c r="I254" s="76"/>
    </row>
    <row r="255" ht="15.75" customHeight="1">
      <c r="A255" s="74" t="s">
        <v>209</v>
      </c>
      <c r="B255" s="74" t="s">
        <v>388</v>
      </c>
      <c r="C255" s="75"/>
      <c r="D255" s="76"/>
      <c r="E255" s="76"/>
      <c r="F255" s="76"/>
      <c r="G255" s="76"/>
      <c r="H255" s="76"/>
      <c r="I255" s="76"/>
    </row>
    <row r="256" ht="15.75" customHeight="1">
      <c r="A256" s="77" t="s">
        <v>211</v>
      </c>
      <c r="B256" s="11"/>
      <c r="C256" s="11"/>
      <c r="D256" s="78">
        <f t="shared" ref="D256:I256" si="23">SUM(D249:D255)</f>
        <v>0</v>
      </c>
      <c r="E256" s="78">
        <f t="shared" si="23"/>
        <v>0</v>
      </c>
      <c r="F256" s="78">
        <f t="shared" si="23"/>
        <v>0</v>
      </c>
      <c r="G256" s="78">
        <f t="shared" si="23"/>
        <v>0</v>
      </c>
      <c r="H256" s="78">
        <f t="shared" si="23"/>
        <v>0</v>
      </c>
      <c r="I256" s="78">
        <f t="shared" si="23"/>
        <v>0</v>
      </c>
    </row>
    <row r="257" ht="15.75" customHeight="1"/>
    <row r="258" ht="15.75" customHeight="1">
      <c r="A258" s="65" t="s">
        <v>389</v>
      </c>
      <c r="B258" s="66"/>
      <c r="C258" s="66"/>
      <c r="D258" s="66"/>
      <c r="E258" s="66"/>
      <c r="F258" s="66"/>
      <c r="G258" s="66"/>
      <c r="H258" s="66"/>
      <c r="I258" s="67"/>
    </row>
    <row r="259" ht="15.75" customHeight="1">
      <c r="A259" s="68" t="s">
        <v>192</v>
      </c>
      <c r="B259" s="68" t="s">
        <v>193</v>
      </c>
      <c r="C259" s="68" t="s">
        <v>194</v>
      </c>
      <c r="D259" s="68" t="s">
        <v>195</v>
      </c>
      <c r="E259" s="68" t="s">
        <v>196</v>
      </c>
      <c r="F259" s="68" t="s">
        <v>197</v>
      </c>
      <c r="G259" s="68" t="s">
        <v>198</v>
      </c>
      <c r="H259" s="68" t="s">
        <v>199</v>
      </c>
      <c r="I259" s="68" t="s">
        <v>200</v>
      </c>
    </row>
    <row r="260" ht="15.75" customHeight="1">
      <c r="A260" s="69" t="s">
        <v>201</v>
      </c>
      <c r="B260" s="69" t="s">
        <v>390</v>
      </c>
      <c r="C260" s="71"/>
      <c r="D260" s="72"/>
      <c r="E260" s="72"/>
      <c r="F260" s="72"/>
      <c r="G260" s="72"/>
      <c r="H260" s="72"/>
      <c r="I260" s="72"/>
    </row>
    <row r="261" ht="15.75" customHeight="1">
      <c r="A261" s="69" t="s">
        <v>203</v>
      </c>
      <c r="B261" s="69" t="s">
        <v>391</v>
      </c>
      <c r="C261" s="71"/>
      <c r="D261" s="72"/>
      <c r="E261" s="72"/>
      <c r="F261" s="72"/>
      <c r="G261" s="72"/>
      <c r="H261" s="72"/>
      <c r="I261" s="72"/>
    </row>
    <row r="262" ht="15.75" customHeight="1">
      <c r="A262" s="69" t="s">
        <v>204</v>
      </c>
      <c r="B262" s="69" t="s">
        <v>392</v>
      </c>
      <c r="C262" s="71"/>
      <c r="D262" s="72"/>
      <c r="E262" s="72"/>
      <c r="F262" s="72"/>
      <c r="G262" s="72"/>
      <c r="H262" s="72"/>
      <c r="I262" s="72"/>
    </row>
    <row r="263" ht="15.75" customHeight="1">
      <c r="A263" s="69" t="s">
        <v>205</v>
      </c>
      <c r="B263" s="69" t="s">
        <v>393</v>
      </c>
      <c r="C263" s="71"/>
      <c r="D263" s="72"/>
      <c r="E263" s="72"/>
      <c r="F263" s="72"/>
      <c r="G263" s="72"/>
      <c r="H263" s="72"/>
      <c r="I263" s="72"/>
    </row>
    <row r="264" ht="15.75" customHeight="1">
      <c r="A264" s="69" t="s">
        <v>206</v>
      </c>
      <c r="B264" s="69" t="s">
        <v>394</v>
      </c>
      <c r="C264" s="71"/>
      <c r="D264" s="72"/>
      <c r="E264" s="72"/>
      <c r="F264" s="72"/>
      <c r="G264" s="72"/>
      <c r="H264" s="72"/>
      <c r="I264" s="72"/>
    </row>
    <row r="265" ht="15.75" customHeight="1">
      <c r="A265" s="74" t="s">
        <v>207</v>
      </c>
      <c r="B265" s="74" t="s">
        <v>395</v>
      </c>
      <c r="C265" s="75"/>
      <c r="D265" s="76"/>
      <c r="E265" s="76"/>
      <c r="F265" s="76"/>
      <c r="G265" s="76"/>
      <c r="H265" s="76"/>
      <c r="I265" s="76"/>
    </row>
    <row r="266" ht="15.75" customHeight="1">
      <c r="A266" s="74" t="s">
        <v>209</v>
      </c>
      <c r="B266" s="74" t="s">
        <v>396</v>
      </c>
      <c r="C266" s="75"/>
      <c r="D266" s="76"/>
      <c r="E266" s="76"/>
      <c r="F266" s="76"/>
      <c r="G266" s="76"/>
      <c r="H266" s="76"/>
      <c r="I266" s="76"/>
    </row>
    <row r="267" ht="15.75" customHeight="1">
      <c r="A267" s="77" t="s">
        <v>211</v>
      </c>
      <c r="B267" s="11"/>
      <c r="C267" s="11"/>
      <c r="D267" s="78">
        <f t="shared" ref="D267:I267" si="24">SUM(D260:D266)</f>
        <v>0</v>
      </c>
      <c r="E267" s="78">
        <f t="shared" si="24"/>
        <v>0</v>
      </c>
      <c r="F267" s="78">
        <f t="shared" si="24"/>
        <v>0</v>
      </c>
      <c r="G267" s="78">
        <f t="shared" si="24"/>
        <v>0</v>
      </c>
      <c r="H267" s="78">
        <f t="shared" si="24"/>
        <v>0</v>
      </c>
      <c r="I267" s="78">
        <f t="shared" si="24"/>
        <v>0</v>
      </c>
    </row>
    <row r="268" ht="15.75" customHeight="1"/>
    <row r="269" ht="15.75" customHeight="1">
      <c r="A269" s="65" t="s">
        <v>397</v>
      </c>
      <c r="B269" s="66"/>
      <c r="C269" s="66"/>
      <c r="D269" s="66"/>
      <c r="E269" s="66"/>
      <c r="F269" s="66"/>
      <c r="G269" s="66"/>
      <c r="H269" s="66"/>
      <c r="I269" s="67"/>
    </row>
    <row r="270" ht="15.75" customHeight="1">
      <c r="A270" s="68" t="s">
        <v>192</v>
      </c>
      <c r="B270" s="68" t="s">
        <v>193</v>
      </c>
      <c r="C270" s="68" t="s">
        <v>194</v>
      </c>
      <c r="D270" s="68" t="s">
        <v>195</v>
      </c>
      <c r="E270" s="68" t="s">
        <v>196</v>
      </c>
      <c r="F270" s="68" t="s">
        <v>197</v>
      </c>
      <c r="G270" s="68" t="s">
        <v>198</v>
      </c>
      <c r="H270" s="68" t="s">
        <v>199</v>
      </c>
      <c r="I270" s="68" t="s">
        <v>200</v>
      </c>
    </row>
    <row r="271" ht="15.75" customHeight="1">
      <c r="A271" s="69" t="s">
        <v>201</v>
      </c>
      <c r="B271" s="69" t="s">
        <v>398</v>
      </c>
      <c r="C271" s="71"/>
      <c r="D271" s="72"/>
      <c r="E271" s="72"/>
      <c r="F271" s="72"/>
      <c r="G271" s="72"/>
      <c r="H271" s="72"/>
      <c r="I271" s="72"/>
    </row>
    <row r="272" ht="15.75" customHeight="1">
      <c r="A272" s="69" t="s">
        <v>203</v>
      </c>
      <c r="B272" s="69" t="s">
        <v>399</v>
      </c>
      <c r="C272" s="71"/>
      <c r="D272" s="72"/>
      <c r="E272" s="72"/>
      <c r="F272" s="72"/>
      <c r="G272" s="72"/>
      <c r="H272" s="72"/>
      <c r="I272" s="72"/>
    </row>
    <row r="273" ht="15.75" customHeight="1">
      <c r="A273" s="69" t="s">
        <v>204</v>
      </c>
      <c r="B273" s="69" t="s">
        <v>400</v>
      </c>
      <c r="C273" s="71"/>
      <c r="D273" s="72"/>
      <c r="E273" s="72"/>
      <c r="F273" s="72"/>
      <c r="G273" s="72"/>
      <c r="H273" s="72"/>
      <c r="I273" s="72"/>
    </row>
    <row r="274" ht="15.75" customHeight="1">
      <c r="A274" s="69" t="s">
        <v>205</v>
      </c>
      <c r="B274" s="69" t="s">
        <v>401</v>
      </c>
      <c r="C274" s="71"/>
      <c r="D274" s="72"/>
      <c r="E274" s="72"/>
      <c r="F274" s="72"/>
      <c r="G274" s="72"/>
      <c r="H274" s="72"/>
      <c r="I274" s="72"/>
    </row>
    <row r="275" ht="15.75" customHeight="1">
      <c r="A275" s="69" t="s">
        <v>206</v>
      </c>
      <c r="B275" s="69" t="s">
        <v>402</v>
      </c>
      <c r="C275" s="71"/>
      <c r="D275" s="72"/>
      <c r="E275" s="72"/>
      <c r="F275" s="72"/>
      <c r="G275" s="72"/>
      <c r="H275" s="72"/>
      <c r="I275" s="72"/>
    </row>
    <row r="276" ht="15.75" customHeight="1">
      <c r="A276" s="74" t="s">
        <v>207</v>
      </c>
      <c r="B276" s="74" t="s">
        <v>403</v>
      </c>
      <c r="C276" s="75"/>
      <c r="D276" s="76"/>
      <c r="E276" s="76"/>
      <c r="F276" s="76"/>
      <c r="G276" s="76"/>
      <c r="H276" s="76"/>
      <c r="I276" s="76"/>
    </row>
    <row r="277" ht="15.75" customHeight="1">
      <c r="A277" s="74" t="s">
        <v>209</v>
      </c>
      <c r="B277" s="74" t="s">
        <v>404</v>
      </c>
      <c r="C277" s="75"/>
      <c r="D277" s="76"/>
      <c r="E277" s="76"/>
      <c r="F277" s="76"/>
      <c r="G277" s="76"/>
      <c r="H277" s="76"/>
      <c r="I277" s="76"/>
    </row>
    <row r="278" ht="15.75" customHeight="1">
      <c r="A278" s="77" t="s">
        <v>211</v>
      </c>
      <c r="B278" s="11"/>
      <c r="C278" s="11"/>
      <c r="D278" s="78">
        <f t="shared" ref="D278:I278" si="25">SUM(D271:D277)</f>
        <v>0</v>
      </c>
      <c r="E278" s="78">
        <f t="shared" si="25"/>
        <v>0</v>
      </c>
      <c r="F278" s="78">
        <f t="shared" si="25"/>
        <v>0</v>
      </c>
      <c r="G278" s="78">
        <f t="shared" si="25"/>
        <v>0</v>
      </c>
      <c r="H278" s="78">
        <f t="shared" si="25"/>
        <v>0</v>
      </c>
      <c r="I278" s="78">
        <f t="shared" si="25"/>
        <v>0</v>
      </c>
    </row>
    <row r="279" ht="15.75" customHeight="1"/>
    <row r="280" ht="15.75" customHeight="1">
      <c r="A280" s="65" t="s">
        <v>405</v>
      </c>
      <c r="B280" s="66"/>
      <c r="C280" s="66"/>
      <c r="D280" s="66"/>
      <c r="E280" s="66"/>
      <c r="F280" s="66"/>
      <c r="G280" s="66"/>
      <c r="H280" s="66"/>
      <c r="I280" s="67"/>
    </row>
    <row r="281" ht="15.75" customHeight="1">
      <c r="A281" s="68" t="s">
        <v>192</v>
      </c>
      <c r="B281" s="68" t="s">
        <v>193</v>
      </c>
      <c r="C281" s="68" t="s">
        <v>194</v>
      </c>
      <c r="D281" s="68" t="s">
        <v>195</v>
      </c>
      <c r="E281" s="68" t="s">
        <v>196</v>
      </c>
      <c r="F281" s="68" t="s">
        <v>197</v>
      </c>
      <c r="G281" s="68" t="s">
        <v>198</v>
      </c>
      <c r="H281" s="68" t="s">
        <v>199</v>
      </c>
      <c r="I281" s="68" t="s">
        <v>200</v>
      </c>
    </row>
    <row r="282" ht="15.75" customHeight="1">
      <c r="A282" s="69" t="s">
        <v>201</v>
      </c>
      <c r="B282" s="69" t="s">
        <v>406</v>
      </c>
      <c r="C282" s="71"/>
      <c r="D282" s="72"/>
      <c r="E282" s="72"/>
      <c r="F282" s="72"/>
      <c r="G282" s="72"/>
      <c r="H282" s="72"/>
      <c r="I282" s="72"/>
    </row>
    <row r="283" ht="15.75" customHeight="1">
      <c r="A283" s="69" t="s">
        <v>203</v>
      </c>
      <c r="B283" s="69" t="s">
        <v>407</v>
      </c>
      <c r="C283" s="71"/>
      <c r="D283" s="72"/>
      <c r="E283" s="72"/>
      <c r="F283" s="72"/>
      <c r="G283" s="72"/>
      <c r="H283" s="72"/>
      <c r="I283" s="72"/>
    </row>
    <row r="284" ht="15.75" customHeight="1">
      <c r="A284" s="69" t="s">
        <v>204</v>
      </c>
      <c r="B284" s="69" t="s">
        <v>408</v>
      </c>
      <c r="C284" s="71"/>
      <c r="D284" s="72"/>
      <c r="E284" s="72"/>
      <c r="F284" s="72"/>
      <c r="G284" s="72"/>
      <c r="H284" s="72"/>
      <c r="I284" s="72"/>
    </row>
    <row r="285" ht="15.75" customHeight="1">
      <c r="A285" s="69" t="s">
        <v>205</v>
      </c>
      <c r="B285" s="69" t="s">
        <v>409</v>
      </c>
      <c r="C285" s="71"/>
      <c r="D285" s="72"/>
      <c r="E285" s="72"/>
      <c r="F285" s="72"/>
      <c r="G285" s="72"/>
      <c r="H285" s="72"/>
      <c r="I285" s="72"/>
    </row>
    <row r="286" ht="15.75" customHeight="1">
      <c r="A286" s="69" t="s">
        <v>206</v>
      </c>
      <c r="B286" s="69" t="s">
        <v>410</v>
      </c>
      <c r="C286" s="71"/>
      <c r="D286" s="72"/>
      <c r="E286" s="72"/>
      <c r="F286" s="72"/>
      <c r="G286" s="72"/>
      <c r="H286" s="72"/>
      <c r="I286" s="72"/>
    </row>
    <row r="287" ht="15.75" customHeight="1">
      <c r="A287" s="74" t="s">
        <v>207</v>
      </c>
      <c r="B287" s="74" t="s">
        <v>411</v>
      </c>
      <c r="C287" s="75"/>
      <c r="D287" s="76"/>
      <c r="E287" s="76"/>
      <c r="F287" s="76"/>
      <c r="G287" s="76"/>
      <c r="H287" s="76"/>
      <c r="I287" s="76"/>
    </row>
    <row r="288" ht="15.75" customHeight="1">
      <c r="A288" s="74" t="s">
        <v>209</v>
      </c>
      <c r="B288" s="74" t="s">
        <v>412</v>
      </c>
      <c r="C288" s="75"/>
      <c r="D288" s="76"/>
      <c r="E288" s="76"/>
      <c r="F288" s="76"/>
      <c r="G288" s="76"/>
      <c r="H288" s="76"/>
      <c r="I288" s="76"/>
    </row>
    <row r="289" ht="15.75" customHeight="1">
      <c r="A289" s="77" t="s">
        <v>211</v>
      </c>
      <c r="B289" s="11"/>
      <c r="C289" s="11"/>
      <c r="D289" s="78">
        <f t="shared" ref="D289:I289" si="26">SUM(D282:D288)</f>
        <v>0</v>
      </c>
      <c r="E289" s="78">
        <f t="shared" si="26"/>
        <v>0</v>
      </c>
      <c r="F289" s="78">
        <f t="shared" si="26"/>
        <v>0</v>
      </c>
      <c r="G289" s="78">
        <f t="shared" si="26"/>
        <v>0</v>
      </c>
      <c r="H289" s="78">
        <f t="shared" si="26"/>
        <v>0</v>
      </c>
      <c r="I289" s="78">
        <f t="shared" si="26"/>
        <v>0</v>
      </c>
    </row>
    <row r="290" ht="15.75" customHeight="1"/>
    <row r="291" ht="15.75" customHeight="1">
      <c r="A291" s="65" t="s">
        <v>413</v>
      </c>
      <c r="B291" s="66"/>
      <c r="C291" s="66"/>
      <c r="D291" s="66"/>
      <c r="E291" s="66"/>
      <c r="F291" s="66"/>
      <c r="G291" s="66"/>
      <c r="H291" s="66"/>
      <c r="I291" s="67"/>
    </row>
    <row r="292" ht="15.75" customHeight="1">
      <c r="A292" s="68" t="s">
        <v>192</v>
      </c>
      <c r="B292" s="68" t="s">
        <v>193</v>
      </c>
      <c r="C292" s="68" t="s">
        <v>194</v>
      </c>
      <c r="D292" s="68" t="s">
        <v>195</v>
      </c>
      <c r="E292" s="68" t="s">
        <v>196</v>
      </c>
      <c r="F292" s="68" t="s">
        <v>197</v>
      </c>
      <c r="G292" s="68" t="s">
        <v>198</v>
      </c>
      <c r="H292" s="68" t="s">
        <v>199</v>
      </c>
      <c r="I292" s="68" t="s">
        <v>200</v>
      </c>
    </row>
    <row r="293" ht="15.75" customHeight="1">
      <c r="A293" s="69" t="s">
        <v>201</v>
      </c>
      <c r="B293" s="69" t="s">
        <v>414</v>
      </c>
      <c r="C293" s="71"/>
      <c r="D293" s="72"/>
      <c r="E293" s="72"/>
      <c r="F293" s="72"/>
      <c r="G293" s="72"/>
      <c r="H293" s="72"/>
      <c r="I293" s="72"/>
    </row>
    <row r="294" ht="15.75" customHeight="1">
      <c r="A294" s="69" t="s">
        <v>203</v>
      </c>
      <c r="B294" s="69" t="s">
        <v>415</v>
      </c>
      <c r="C294" s="71"/>
      <c r="D294" s="72"/>
      <c r="E294" s="72"/>
      <c r="F294" s="72"/>
      <c r="G294" s="72"/>
      <c r="H294" s="72"/>
      <c r="I294" s="72"/>
    </row>
    <row r="295" ht="15.75" customHeight="1">
      <c r="A295" s="69" t="s">
        <v>204</v>
      </c>
      <c r="B295" s="69" t="s">
        <v>416</v>
      </c>
      <c r="C295" s="71"/>
      <c r="D295" s="72"/>
      <c r="E295" s="72"/>
      <c r="F295" s="72"/>
      <c r="G295" s="72"/>
      <c r="H295" s="72"/>
      <c r="I295" s="72"/>
    </row>
    <row r="296" ht="15.75" customHeight="1">
      <c r="A296" s="69" t="s">
        <v>205</v>
      </c>
      <c r="B296" s="69" t="s">
        <v>417</v>
      </c>
      <c r="C296" s="71"/>
      <c r="D296" s="72"/>
      <c r="E296" s="72"/>
      <c r="F296" s="72"/>
      <c r="G296" s="72"/>
      <c r="H296" s="72"/>
      <c r="I296" s="72"/>
    </row>
    <row r="297" ht="15.75" customHeight="1">
      <c r="A297" s="69" t="s">
        <v>206</v>
      </c>
      <c r="B297" s="69" t="s">
        <v>418</v>
      </c>
      <c r="C297" s="71"/>
      <c r="D297" s="72"/>
      <c r="E297" s="72"/>
      <c r="F297" s="72"/>
      <c r="G297" s="72"/>
      <c r="H297" s="72"/>
      <c r="I297" s="72"/>
    </row>
    <row r="298" ht="15.75" customHeight="1">
      <c r="A298" s="74" t="s">
        <v>207</v>
      </c>
      <c r="B298" s="74" t="s">
        <v>419</v>
      </c>
      <c r="C298" s="75"/>
      <c r="D298" s="76"/>
      <c r="E298" s="76"/>
      <c r="F298" s="76"/>
      <c r="G298" s="76"/>
      <c r="H298" s="76"/>
      <c r="I298" s="76"/>
    </row>
    <row r="299" ht="15.75" customHeight="1">
      <c r="A299" s="74" t="s">
        <v>209</v>
      </c>
      <c r="B299" s="74" t="s">
        <v>420</v>
      </c>
      <c r="C299" s="75"/>
      <c r="D299" s="76"/>
      <c r="E299" s="76"/>
      <c r="F299" s="76"/>
      <c r="G299" s="76"/>
      <c r="H299" s="76"/>
      <c r="I299" s="76"/>
    </row>
    <row r="300" ht="15.75" customHeight="1">
      <c r="A300" s="77" t="s">
        <v>211</v>
      </c>
      <c r="B300" s="11"/>
      <c r="C300" s="11"/>
      <c r="D300" s="78">
        <f t="shared" ref="D300:I300" si="27">SUM(D293:D299)</f>
        <v>0</v>
      </c>
      <c r="E300" s="78">
        <f t="shared" si="27"/>
        <v>0</v>
      </c>
      <c r="F300" s="78">
        <f t="shared" si="27"/>
        <v>0</v>
      </c>
      <c r="G300" s="78">
        <f t="shared" si="27"/>
        <v>0</v>
      </c>
      <c r="H300" s="78">
        <f t="shared" si="27"/>
        <v>0</v>
      </c>
      <c r="I300" s="78">
        <f t="shared" si="27"/>
        <v>0</v>
      </c>
    </row>
    <row r="301" ht="15.75" customHeight="1"/>
    <row r="302" ht="15.75" customHeight="1">
      <c r="A302" s="65" t="s">
        <v>421</v>
      </c>
      <c r="B302" s="66"/>
      <c r="C302" s="66"/>
      <c r="D302" s="66"/>
      <c r="E302" s="66"/>
      <c r="F302" s="66"/>
      <c r="G302" s="66"/>
      <c r="H302" s="66"/>
      <c r="I302" s="67"/>
    </row>
    <row r="303" ht="15.75" customHeight="1">
      <c r="A303" s="68" t="s">
        <v>192</v>
      </c>
      <c r="B303" s="68" t="s">
        <v>193</v>
      </c>
      <c r="C303" s="68" t="s">
        <v>194</v>
      </c>
      <c r="D303" s="68" t="s">
        <v>195</v>
      </c>
      <c r="E303" s="68" t="s">
        <v>196</v>
      </c>
      <c r="F303" s="68" t="s">
        <v>197</v>
      </c>
      <c r="G303" s="68" t="s">
        <v>198</v>
      </c>
      <c r="H303" s="68" t="s">
        <v>199</v>
      </c>
      <c r="I303" s="68" t="s">
        <v>200</v>
      </c>
    </row>
    <row r="304" ht="15.75" customHeight="1">
      <c r="A304" s="69" t="s">
        <v>201</v>
      </c>
      <c r="B304" s="69" t="s">
        <v>422</v>
      </c>
      <c r="C304" s="71"/>
      <c r="D304" s="72"/>
      <c r="E304" s="72"/>
      <c r="F304" s="72"/>
      <c r="G304" s="72"/>
      <c r="H304" s="72"/>
      <c r="I304" s="72"/>
    </row>
    <row r="305" ht="15.75" customHeight="1">
      <c r="A305" s="69" t="s">
        <v>203</v>
      </c>
      <c r="B305" s="69" t="s">
        <v>423</v>
      </c>
      <c r="C305" s="71"/>
      <c r="D305" s="72"/>
      <c r="E305" s="72"/>
      <c r="F305" s="72"/>
      <c r="G305" s="72"/>
      <c r="H305" s="72"/>
      <c r="I305" s="72"/>
    </row>
    <row r="306" ht="15.75" customHeight="1">
      <c r="A306" s="69" t="s">
        <v>204</v>
      </c>
      <c r="B306" s="69" t="s">
        <v>424</v>
      </c>
      <c r="C306" s="71"/>
      <c r="D306" s="72"/>
      <c r="E306" s="72"/>
      <c r="F306" s="72"/>
      <c r="G306" s="72"/>
      <c r="H306" s="72"/>
      <c r="I306" s="72"/>
    </row>
    <row r="307" ht="15.75" customHeight="1">
      <c r="A307" s="69" t="s">
        <v>205</v>
      </c>
      <c r="B307" s="69" t="s">
        <v>425</v>
      </c>
      <c r="C307" s="71"/>
      <c r="D307" s="72"/>
      <c r="E307" s="72"/>
      <c r="F307" s="72"/>
      <c r="G307" s="72"/>
      <c r="H307" s="72"/>
      <c r="I307" s="72"/>
    </row>
    <row r="308" ht="15.75" customHeight="1">
      <c r="A308" s="69" t="s">
        <v>206</v>
      </c>
      <c r="B308" s="69" t="s">
        <v>426</v>
      </c>
      <c r="C308" s="71"/>
      <c r="D308" s="72"/>
      <c r="E308" s="72"/>
      <c r="F308" s="72"/>
      <c r="G308" s="72"/>
      <c r="H308" s="72"/>
      <c r="I308" s="72"/>
    </row>
    <row r="309" ht="15.75" customHeight="1">
      <c r="A309" s="74" t="s">
        <v>207</v>
      </c>
      <c r="B309" s="74" t="s">
        <v>427</v>
      </c>
      <c r="C309" s="75"/>
      <c r="D309" s="76"/>
      <c r="E309" s="76"/>
      <c r="F309" s="76"/>
      <c r="G309" s="76"/>
      <c r="H309" s="76"/>
      <c r="I309" s="76"/>
    </row>
    <row r="310" ht="15.75" customHeight="1">
      <c r="A310" s="74" t="s">
        <v>209</v>
      </c>
      <c r="B310" s="74" t="s">
        <v>428</v>
      </c>
      <c r="C310" s="75"/>
      <c r="D310" s="76"/>
      <c r="E310" s="76"/>
      <c r="F310" s="76"/>
      <c r="G310" s="76"/>
      <c r="H310" s="76"/>
      <c r="I310" s="76"/>
    </row>
    <row r="311" ht="15.75" customHeight="1">
      <c r="A311" s="77" t="s">
        <v>211</v>
      </c>
      <c r="B311" s="11"/>
      <c r="C311" s="11"/>
      <c r="D311" s="78">
        <f t="shared" ref="D311:I311" si="28">SUM(D304:D310)</f>
        <v>0</v>
      </c>
      <c r="E311" s="78">
        <f t="shared" si="28"/>
        <v>0</v>
      </c>
      <c r="F311" s="78">
        <f t="shared" si="28"/>
        <v>0</v>
      </c>
      <c r="G311" s="78">
        <f t="shared" si="28"/>
        <v>0</v>
      </c>
      <c r="H311" s="78">
        <f t="shared" si="28"/>
        <v>0</v>
      </c>
      <c r="I311" s="78">
        <f t="shared" si="28"/>
        <v>0</v>
      </c>
    </row>
    <row r="312" ht="15.75" customHeight="1"/>
    <row r="313" ht="15.75" customHeight="1">
      <c r="A313" s="65" t="s">
        <v>429</v>
      </c>
      <c r="B313" s="66"/>
      <c r="C313" s="66"/>
      <c r="D313" s="66"/>
      <c r="E313" s="66"/>
      <c r="F313" s="66"/>
      <c r="G313" s="66"/>
      <c r="H313" s="66"/>
      <c r="I313" s="67"/>
    </row>
    <row r="314" ht="15.75" customHeight="1">
      <c r="A314" s="68" t="s">
        <v>192</v>
      </c>
      <c r="B314" s="68" t="s">
        <v>193</v>
      </c>
      <c r="C314" s="68" t="s">
        <v>194</v>
      </c>
      <c r="D314" s="68" t="s">
        <v>195</v>
      </c>
      <c r="E314" s="68" t="s">
        <v>196</v>
      </c>
      <c r="F314" s="68" t="s">
        <v>197</v>
      </c>
      <c r="G314" s="68" t="s">
        <v>198</v>
      </c>
      <c r="H314" s="68" t="s">
        <v>199</v>
      </c>
      <c r="I314" s="68" t="s">
        <v>200</v>
      </c>
    </row>
    <row r="315" ht="15.75" customHeight="1">
      <c r="A315" s="69" t="s">
        <v>201</v>
      </c>
      <c r="B315" s="69" t="s">
        <v>430</v>
      </c>
      <c r="C315" s="71"/>
      <c r="D315" s="72"/>
      <c r="E315" s="72"/>
      <c r="F315" s="72"/>
      <c r="G315" s="72"/>
      <c r="H315" s="72"/>
      <c r="I315" s="72"/>
    </row>
    <row r="316" ht="15.75" customHeight="1">
      <c r="A316" s="69" t="s">
        <v>203</v>
      </c>
      <c r="B316" s="69" t="s">
        <v>431</v>
      </c>
      <c r="C316" s="71"/>
      <c r="D316" s="72"/>
      <c r="E316" s="72"/>
      <c r="F316" s="72"/>
      <c r="G316" s="72"/>
      <c r="H316" s="72"/>
      <c r="I316" s="72"/>
    </row>
    <row r="317" ht="15.75" customHeight="1">
      <c r="A317" s="69" t="s">
        <v>204</v>
      </c>
      <c r="B317" s="69" t="s">
        <v>432</v>
      </c>
      <c r="C317" s="71"/>
      <c r="D317" s="72"/>
      <c r="E317" s="72"/>
      <c r="F317" s="72"/>
      <c r="G317" s="72"/>
      <c r="H317" s="72"/>
      <c r="I317" s="72"/>
    </row>
    <row r="318" ht="15.75" customHeight="1">
      <c r="A318" s="69" t="s">
        <v>205</v>
      </c>
      <c r="B318" s="69" t="s">
        <v>433</v>
      </c>
      <c r="C318" s="71"/>
      <c r="D318" s="72"/>
      <c r="E318" s="72"/>
      <c r="F318" s="72"/>
      <c r="G318" s="72"/>
      <c r="H318" s="72"/>
      <c r="I318" s="72"/>
    </row>
    <row r="319" ht="15.75" customHeight="1">
      <c r="A319" s="69" t="s">
        <v>206</v>
      </c>
      <c r="B319" s="69" t="s">
        <v>434</v>
      </c>
      <c r="C319" s="71"/>
      <c r="D319" s="72"/>
      <c r="E319" s="72"/>
      <c r="F319" s="72"/>
      <c r="G319" s="72"/>
      <c r="H319" s="72"/>
      <c r="I319" s="72"/>
    </row>
    <row r="320" ht="15.75" customHeight="1">
      <c r="A320" s="74" t="s">
        <v>207</v>
      </c>
      <c r="B320" s="74" t="s">
        <v>435</v>
      </c>
      <c r="C320" s="75"/>
      <c r="D320" s="76"/>
      <c r="E320" s="76"/>
      <c r="F320" s="76"/>
      <c r="G320" s="76"/>
      <c r="H320" s="76"/>
      <c r="I320" s="76"/>
    </row>
    <row r="321" ht="15.75" customHeight="1">
      <c r="A321" s="74" t="s">
        <v>209</v>
      </c>
      <c r="B321" s="74" t="s">
        <v>436</v>
      </c>
      <c r="C321" s="75"/>
      <c r="D321" s="76"/>
      <c r="E321" s="76"/>
      <c r="F321" s="76"/>
      <c r="G321" s="76"/>
      <c r="H321" s="76"/>
      <c r="I321" s="76"/>
    </row>
    <row r="322" ht="15.75" customHeight="1">
      <c r="A322" s="77" t="s">
        <v>211</v>
      </c>
      <c r="B322" s="11"/>
      <c r="C322" s="11"/>
      <c r="D322" s="78">
        <f t="shared" ref="D322:I322" si="29">SUM(D315:D321)</f>
        <v>0</v>
      </c>
      <c r="E322" s="78">
        <f t="shared" si="29"/>
        <v>0</v>
      </c>
      <c r="F322" s="78">
        <f t="shared" si="29"/>
        <v>0</v>
      </c>
      <c r="G322" s="78">
        <f t="shared" si="29"/>
        <v>0</v>
      </c>
      <c r="H322" s="78">
        <f t="shared" si="29"/>
        <v>0</v>
      </c>
      <c r="I322" s="78">
        <f t="shared" si="29"/>
        <v>0</v>
      </c>
    </row>
    <row r="323" ht="15.75" customHeight="1"/>
    <row r="324" ht="15.75" customHeight="1">
      <c r="A324" s="65" t="s">
        <v>437</v>
      </c>
      <c r="B324" s="66"/>
      <c r="C324" s="66"/>
      <c r="D324" s="66"/>
      <c r="E324" s="66"/>
      <c r="F324" s="66"/>
      <c r="G324" s="66"/>
      <c r="H324" s="66"/>
      <c r="I324" s="67"/>
    </row>
    <row r="325" ht="15.75" customHeight="1">
      <c r="A325" s="68" t="s">
        <v>192</v>
      </c>
      <c r="B325" s="68" t="s">
        <v>193</v>
      </c>
      <c r="C325" s="68" t="s">
        <v>194</v>
      </c>
      <c r="D325" s="68" t="s">
        <v>195</v>
      </c>
      <c r="E325" s="68" t="s">
        <v>196</v>
      </c>
      <c r="F325" s="68" t="s">
        <v>197</v>
      </c>
      <c r="G325" s="68" t="s">
        <v>198</v>
      </c>
      <c r="H325" s="68" t="s">
        <v>199</v>
      </c>
      <c r="I325" s="68" t="s">
        <v>200</v>
      </c>
    </row>
    <row r="326" ht="15.75" customHeight="1">
      <c r="A326" s="69" t="s">
        <v>201</v>
      </c>
      <c r="B326" s="69" t="s">
        <v>438</v>
      </c>
      <c r="C326" s="71"/>
      <c r="D326" s="72"/>
      <c r="E326" s="72"/>
      <c r="F326" s="72"/>
      <c r="G326" s="72"/>
      <c r="H326" s="72"/>
      <c r="I326" s="72"/>
    </row>
    <row r="327" ht="15.75" customHeight="1">
      <c r="A327" s="69" t="s">
        <v>203</v>
      </c>
      <c r="B327" s="69" t="s">
        <v>439</v>
      </c>
      <c r="C327" s="71"/>
      <c r="D327" s="72"/>
      <c r="E327" s="72"/>
      <c r="F327" s="72"/>
      <c r="G327" s="72"/>
      <c r="H327" s="72"/>
      <c r="I327" s="72"/>
    </row>
    <row r="328" ht="15.75" customHeight="1">
      <c r="A328" s="69" t="s">
        <v>204</v>
      </c>
      <c r="B328" s="69" t="s">
        <v>440</v>
      </c>
      <c r="C328" s="71"/>
      <c r="D328" s="72"/>
      <c r="E328" s="72"/>
      <c r="F328" s="72"/>
      <c r="G328" s="72"/>
      <c r="H328" s="72"/>
      <c r="I328" s="72"/>
    </row>
    <row r="329" ht="15.75" customHeight="1">
      <c r="A329" s="69" t="s">
        <v>205</v>
      </c>
      <c r="B329" s="69" t="s">
        <v>441</v>
      </c>
      <c r="C329" s="71"/>
      <c r="D329" s="72"/>
      <c r="E329" s="72"/>
      <c r="F329" s="72"/>
      <c r="G329" s="72"/>
      <c r="H329" s="72"/>
      <c r="I329" s="72"/>
    </row>
    <row r="330" ht="15.75" customHeight="1">
      <c r="A330" s="69" t="s">
        <v>206</v>
      </c>
      <c r="B330" s="69" t="s">
        <v>442</v>
      </c>
      <c r="C330" s="71"/>
      <c r="D330" s="72"/>
      <c r="E330" s="72"/>
      <c r="F330" s="72"/>
      <c r="G330" s="72"/>
      <c r="H330" s="72"/>
      <c r="I330" s="72"/>
    </row>
    <row r="331" ht="15.75" customHeight="1">
      <c r="A331" s="74" t="s">
        <v>207</v>
      </c>
      <c r="B331" s="74" t="s">
        <v>443</v>
      </c>
      <c r="C331" s="75"/>
      <c r="D331" s="76"/>
      <c r="E331" s="76"/>
      <c r="F331" s="76"/>
      <c r="G331" s="76"/>
      <c r="H331" s="76"/>
      <c r="I331" s="76"/>
    </row>
    <row r="332" ht="15.75" customHeight="1">
      <c r="A332" s="74" t="s">
        <v>209</v>
      </c>
      <c r="B332" s="74" t="s">
        <v>444</v>
      </c>
      <c r="C332" s="75"/>
      <c r="D332" s="76"/>
      <c r="E332" s="76"/>
      <c r="F332" s="76"/>
      <c r="G332" s="76"/>
      <c r="H332" s="76"/>
      <c r="I332" s="76"/>
    </row>
    <row r="333" ht="15.75" customHeight="1">
      <c r="A333" s="77" t="s">
        <v>211</v>
      </c>
      <c r="B333" s="11"/>
      <c r="C333" s="11"/>
      <c r="D333" s="78">
        <f t="shared" ref="D333:I333" si="30">SUM(D326:D332)</f>
        <v>0</v>
      </c>
      <c r="E333" s="78">
        <f t="shared" si="30"/>
        <v>0</v>
      </c>
      <c r="F333" s="78">
        <f t="shared" si="30"/>
        <v>0</v>
      </c>
      <c r="G333" s="78">
        <f t="shared" si="30"/>
        <v>0</v>
      </c>
      <c r="H333" s="78">
        <f t="shared" si="30"/>
        <v>0</v>
      </c>
      <c r="I333" s="78">
        <f t="shared" si="30"/>
        <v>0</v>
      </c>
    </row>
    <row r="334" ht="15.75" customHeight="1"/>
    <row r="335" ht="15.75" customHeight="1">
      <c r="A335" s="65" t="s">
        <v>445</v>
      </c>
      <c r="B335" s="66"/>
      <c r="C335" s="66"/>
      <c r="D335" s="66"/>
      <c r="E335" s="66"/>
      <c r="F335" s="66"/>
      <c r="G335" s="66"/>
      <c r="H335" s="66"/>
      <c r="I335" s="67"/>
    </row>
    <row r="336" ht="15.75" customHeight="1">
      <c r="A336" s="68" t="s">
        <v>192</v>
      </c>
      <c r="B336" s="68" t="s">
        <v>193</v>
      </c>
      <c r="C336" s="68" t="s">
        <v>194</v>
      </c>
      <c r="D336" s="68" t="s">
        <v>195</v>
      </c>
      <c r="E336" s="68" t="s">
        <v>196</v>
      </c>
      <c r="F336" s="68" t="s">
        <v>197</v>
      </c>
      <c r="G336" s="68" t="s">
        <v>198</v>
      </c>
      <c r="H336" s="68" t="s">
        <v>199</v>
      </c>
      <c r="I336" s="68" t="s">
        <v>200</v>
      </c>
    </row>
    <row r="337" ht="15.75" customHeight="1">
      <c r="A337" s="69" t="s">
        <v>201</v>
      </c>
      <c r="B337" s="69" t="s">
        <v>446</v>
      </c>
      <c r="C337" s="71"/>
      <c r="D337" s="72"/>
      <c r="E337" s="72"/>
      <c r="F337" s="72"/>
      <c r="G337" s="72"/>
      <c r="H337" s="72"/>
      <c r="I337" s="72"/>
    </row>
    <row r="338" ht="15.75" customHeight="1">
      <c r="A338" s="69" t="s">
        <v>203</v>
      </c>
      <c r="B338" s="69" t="s">
        <v>447</v>
      </c>
      <c r="C338" s="71"/>
      <c r="D338" s="72"/>
      <c r="E338" s="72"/>
      <c r="F338" s="72"/>
      <c r="G338" s="72"/>
      <c r="H338" s="72"/>
      <c r="I338" s="72"/>
    </row>
    <row r="339" ht="15.75" customHeight="1">
      <c r="A339" s="69" t="s">
        <v>204</v>
      </c>
      <c r="B339" s="69" t="s">
        <v>448</v>
      </c>
      <c r="C339" s="71"/>
      <c r="D339" s="72"/>
      <c r="E339" s="72"/>
      <c r="F339" s="72"/>
      <c r="G339" s="72"/>
      <c r="H339" s="72"/>
      <c r="I339" s="72"/>
    </row>
    <row r="340" ht="15.75" customHeight="1">
      <c r="A340" s="69" t="s">
        <v>205</v>
      </c>
      <c r="B340" s="69" t="s">
        <v>449</v>
      </c>
      <c r="C340" s="71"/>
      <c r="D340" s="72"/>
      <c r="E340" s="72"/>
      <c r="F340" s="72"/>
      <c r="G340" s="72"/>
      <c r="H340" s="72"/>
      <c r="I340" s="72"/>
    </row>
    <row r="341" ht="15.75" customHeight="1">
      <c r="A341" s="69" t="s">
        <v>206</v>
      </c>
      <c r="B341" s="69" t="s">
        <v>450</v>
      </c>
      <c r="C341" s="71"/>
      <c r="D341" s="72"/>
      <c r="E341" s="72"/>
      <c r="F341" s="72"/>
      <c r="G341" s="72"/>
      <c r="H341" s="72"/>
      <c r="I341" s="72"/>
    </row>
    <row r="342" ht="15.75" customHeight="1">
      <c r="A342" s="74" t="s">
        <v>207</v>
      </c>
      <c r="B342" s="74" t="s">
        <v>451</v>
      </c>
      <c r="C342" s="75"/>
      <c r="D342" s="76"/>
      <c r="E342" s="76"/>
      <c r="F342" s="76"/>
      <c r="G342" s="76"/>
      <c r="H342" s="76"/>
      <c r="I342" s="76"/>
    </row>
    <row r="343" ht="15.75" customHeight="1">
      <c r="A343" s="74" t="s">
        <v>209</v>
      </c>
      <c r="B343" s="74" t="s">
        <v>452</v>
      </c>
      <c r="C343" s="75"/>
      <c r="D343" s="76"/>
      <c r="E343" s="76"/>
      <c r="F343" s="76"/>
      <c r="G343" s="76"/>
      <c r="H343" s="76"/>
      <c r="I343" s="76"/>
    </row>
    <row r="344" ht="15.75" customHeight="1">
      <c r="A344" s="77" t="s">
        <v>211</v>
      </c>
      <c r="B344" s="11"/>
      <c r="C344" s="11"/>
      <c r="D344" s="78">
        <f t="shared" ref="D344:I344" si="31">SUM(D337:D343)</f>
        <v>0</v>
      </c>
      <c r="E344" s="78">
        <f t="shared" si="31"/>
        <v>0</v>
      </c>
      <c r="F344" s="78">
        <f t="shared" si="31"/>
        <v>0</v>
      </c>
      <c r="G344" s="78">
        <f t="shared" si="31"/>
        <v>0</v>
      </c>
      <c r="H344" s="78">
        <f t="shared" si="31"/>
        <v>0</v>
      </c>
      <c r="I344" s="78">
        <f t="shared" si="31"/>
        <v>0</v>
      </c>
    </row>
    <row r="345" ht="15.75" customHeight="1"/>
    <row r="346" ht="15.75" customHeight="1">
      <c r="A346" s="65" t="s">
        <v>453</v>
      </c>
      <c r="B346" s="66"/>
      <c r="C346" s="66"/>
      <c r="D346" s="66"/>
      <c r="E346" s="66"/>
      <c r="F346" s="66"/>
      <c r="G346" s="66"/>
      <c r="H346" s="66"/>
      <c r="I346" s="67"/>
    </row>
    <row r="347" ht="15.75" customHeight="1">
      <c r="A347" s="68" t="s">
        <v>192</v>
      </c>
      <c r="B347" s="68" t="s">
        <v>193</v>
      </c>
      <c r="C347" s="68" t="s">
        <v>194</v>
      </c>
      <c r="D347" s="68" t="s">
        <v>195</v>
      </c>
      <c r="E347" s="68" t="s">
        <v>196</v>
      </c>
      <c r="F347" s="68" t="s">
        <v>197</v>
      </c>
      <c r="G347" s="68" t="s">
        <v>198</v>
      </c>
      <c r="H347" s="68" t="s">
        <v>199</v>
      </c>
      <c r="I347" s="68" t="s">
        <v>200</v>
      </c>
    </row>
    <row r="348" ht="15.75" customHeight="1">
      <c r="A348" s="69" t="s">
        <v>201</v>
      </c>
      <c r="B348" s="69" t="s">
        <v>454</v>
      </c>
      <c r="C348" s="71"/>
      <c r="D348" s="72"/>
      <c r="E348" s="72"/>
      <c r="F348" s="72"/>
      <c r="G348" s="72"/>
      <c r="H348" s="72"/>
      <c r="I348" s="72"/>
    </row>
    <row r="349" ht="15.75" customHeight="1">
      <c r="A349" s="69" t="s">
        <v>203</v>
      </c>
      <c r="B349" s="69" t="s">
        <v>455</v>
      </c>
      <c r="C349" s="71"/>
      <c r="D349" s="72"/>
      <c r="E349" s="72"/>
      <c r="F349" s="72"/>
      <c r="G349" s="72"/>
      <c r="H349" s="72"/>
      <c r="I349" s="72"/>
    </row>
    <row r="350" ht="15.75" customHeight="1">
      <c r="A350" s="69" t="s">
        <v>204</v>
      </c>
      <c r="B350" s="69" t="s">
        <v>456</v>
      </c>
      <c r="C350" s="71"/>
      <c r="D350" s="72"/>
      <c r="E350" s="72"/>
      <c r="F350" s="72"/>
      <c r="G350" s="72"/>
      <c r="H350" s="72"/>
      <c r="I350" s="72"/>
    </row>
    <row r="351" ht="15.75" customHeight="1">
      <c r="A351" s="69" t="s">
        <v>205</v>
      </c>
      <c r="B351" s="69" t="s">
        <v>457</v>
      </c>
      <c r="C351" s="71"/>
      <c r="D351" s="72"/>
      <c r="E351" s="72"/>
      <c r="F351" s="72"/>
      <c r="G351" s="72"/>
      <c r="H351" s="72"/>
      <c r="I351" s="72"/>
    </row>
    <row r="352" ht="15.75" customHeight="1">
      <c r="A352" s="69" t="s">
        <v>206</v>
      </c>
      <c r="B352" s="69" t="s">
        <v>458</v>
      </c>
      <c r="C352" s="71"/>
      <c r="D352" s="72"/>
      <c r="E352" s="72"/>
      <c r="F352" s="72"/>
      <c r="G352" s="72"/>
      <c r="H352" s="72"/>
      <c r="I352" s="72"/>
    </row>
    <row r="353" ht="15.75" customHeight="1">
      <c r="A353" s="74" t="s">
        <v>207</v>
      </c>
      <c r="B353" s="74" t="s">
        <v>459</v>
      </c>
      <c r="C353" s="75"/>
      <c r="D353" s="76"/>
      <c r="E353" s="76"/>
      <c r="F353" s="76"/>
      <c r="G353" s="76"/>
      <c r="H353" s="76"/>
      <c r="I353" s="76"/>
    </row>
    <row r="354" ht="15.75" customHeight="1">
      <c r="A354" s="74" t="s">
        <v>209</v>
      </c>
      <c r="B354" s="74" t="s">
        <v>460</v>
      </c>
      <c r="C354" s="75"/>
      <c r="D354" s="76"/>
      <c r="E354" s="76"/>
      <c r="F354" s="76"/>
      <c r="G354" s="76"/>
      <c r="H354" s="76"/>
      <c r="I354" s="76"/>
    </row>
    <row r="355" ht="15.75" customHeight="1">
      <c r="A355" s="77" t="s">
        <v>211</v>
      </c>
      <c r="B355" s="11"/>
      <c r="C355" s="11"/>
      <c r="D355" s="78">
        <f t="shared" ref="D355:I355" si="32">SUM(D348:D354)</f>
        <v>0</v>
      </c>
      <c r="E355" s="78">
        <f t="shared" si="32"/>
        <v>0</v>
      </c>
      <c r="F355" s="78">
        <f t="shared" si="32"/>
        <v>0</v>
      </c>
      <c r="G355" s="78">
        <f t="shared" si="32"/>
        <v>0</v>
      </c>
      <c r="H355" s="78">
        <f t="shared" si="32"/>
        <v>0</v>
      </c>
      <c r="I355" s="78">
        <f t="shared" si="32"/>
        <v>0</v>
      </c>
    </row>
    <row r="356" ht="15.75" customHeight="1"/>
    <row r="357" ht="15.75" customHeight="1">
      <c r="A357" s="65" t="s">
        <v>461</v>
      </c>
      <c r="B357" s="66"/>
      <c r="C357" s="66"/>
      <c r="D357" s="66"/>
      <c r="E357" s="66"/>
      <c r="F357" s="66"/>
      <c r="G357" s="66"/>
      <c r="H357" s="66"/>
      <c r="I357" s="67"/>
    </row>
    <row r="358" ht="15.75" customHeight="1">
      <c r="A358" s="68" t="s">
        <v>192</v>
      </c>
      <c r="B358" s="68" t="s">
        <v>193</v>
      </c>
      <c r="C358" s="68" t="s">
        <v>194</v>
      </c>
      <c r="D358" s="68" t="s">
        <v>195</v>
      </c>
      <c r="E358" s="68" t="s">
        <v>196</v>
      </c>
      <c r="F358" s="68" t="s">
        <v>197</v>
      </c>
      <c r="G358" s="68" t="s">
        <v>198</v>
      </c>
      <c r="H358" s="68" t="s">
        <v>199</v>
      </c>
      <c r="I358" s="68" t="s">
        <v>200</v>
      </c>
    </row>
    <row r="359" ht="15.75" customHeight="1">
      <c r="A359" s="69" t="s">
        <v>201</v>
      </c>
      <c r="B359" s="69" t="s">
        <v>462</v>
      </c>
      <c r="C359" s="71"/>
      <c r="D359" s="72"/>
      <c r="E359" s="72"/>
      <c r="F359" s="72"/>
      <c r="G359" s="72"/>
      <c r="H359" s="72"/>
      <c r="I359" s="72"/>
    </row>
    <row r="360" ht="15.75" customHeight="1">
      <c r="A360" s="69" t="s">
        <v>203</v>
      </c>
      <c r="B360" s="69" t="s">
        <v>463</v>
      </c>
      <c r="C360" s="71"/>
      <c r="D360" s="72"/>
      <c r="E360" s="72"/>
      <c r="F360" s="72"/>
      <c r="G360" s="72"/>
      <c r="H360" s="72"/>
      <c r="I360" s="72"/>
    </row>
    <row r="361" ht="15.75" customHeight="1">
      <c r="A361" s="69" t="s">
        <v>204</v>
      </c>
      <c r="B361" s="69" t="s">
        <v>464</v>
      </c>
      <c r="C361" s="71"/>
      <c r="D361" s="72"/>
      <c r="E361" s="72"/>
      <c r="F361" s="72"/>
      <c r="G361" s="72"/>
      <c r="H361" s="72"/>
      <c r="I361" s="72"/>
    </row>
    <row r="362" ht="15.75" customHeight="1">
      <c r="A362" s="69" t="s">
        <v>205</v>
      </c>
      <c r="B362" s="69" t="s">
        <v>465</v>
      </c>
      <c r="C362" s="71"/>
      <c r="D362" s="72"/>
      <c r="E362" s="72"/>
      <c r="F362" s="72"/>
      <c r="G362" s="72"/>
      <c r="H362" s="72"/>
      <c r="I362" s="72"/>
    </row>
    <row r="363" ht="15.75" customHeight="1">
      <c r="A363" s="69" t="s">
        <v>206</v>
      </c>
      <c r="B363" s="69" t="s">
        <v>466</v>
      </c>
      <c r="C363" s="71"/>
      <c r="D363" s="72"/>
      <c r="E363" s="72"/>
      <c r="F363" s="72"/>
      <c r="G363" s="72"/>
      <c r="H363" s="72"/>
      <c r="I363" s="72"/>
    </row>
    <row r="364" ht="15.75" customHeight="1">
      <c r="A364" s="74" t="s">
        <v>207</v>
      </c>
      <c r="B364" s="74" t="s">
        <v>467</v>
      </c>
      <c r="C364" s="75"/>
      <c r="D364" s="76"/>
      <c r="E364" s="76"/>
      <c r="F364" s="76"/>
      <c r="G364" s="76"/>
      <c r="H364" s="76"/>
      <c r="I364" s="76"/>
    </row>
    <row r="365" ht="15.75" customHeight="1">
      <c r="A365" s="74" t="s">
        <v>209</v>
      </c>
      <c r="B365" s="74" t="s">
        <v>468</v>
      </c>
      <c r="C365" s="75"/>
      <c r="D365" s="76"/>
      <c r="E365" s="76"/>
      <c r="F365" s="76"/>
      <c r="G365" s="76"/>
      <c r="H365" s="76"/>
      <c r="I365" s="76"/>
    </row>
    <row r="366" ht="15.75" customHeight="1">
      <c r="A366" s="77" t="s">
        <v>211</v>
      </c>
      <c r="B366" s="11"/>
      <c r="C366" s="11"/>
      <c r="D366" s="78">
        <f t="shared" ref="D366:I366" si="33">SUM(D359:D365)</f>
        <v>0</v>
      </c>
      <c r="E366" s="78">
        <f t="shared" si="33"/>
        <v>0</v>
      </c>
      <c r="F366" s="78">
        <f t="shared" si="33"/>
        <v>0</v>
      </c>
      <c r="G366" s="78">
        <f t="shared" si="33"/>
        <v>0</v>
      </c>
      <c r="H366" s="78">
        <f t="shared" si="33"/>
        <v>0</v>
      </c>
      <c r="I366" s="78">
        <f t="shared" si="33"/>
        <v>0</v>
      </c>
    </row>
    <row r="367" ht="15.75" customHeight="1"/>
    <row r="368" ht="15.75" customHeight="1">
      <c r="A368" s="65" t="s">
        <v>469</v>
      </c>
      <c r="B368" s="66"/>
      <c r="C368" s="66"/>
      <c r="D368" s="66"/>
      <c r="E368" s="66"/>
      <c r="F368" s="66"/>
      <c r="G368" s="66"/>
      <c r="H368" s="66"/>
      <c r="I368" s="67"/>
    </row>
    <row r="369" ht="15.75" customHeight="1">
      <c r="A369" s="68" t="s">
        <v>192</v>
      </c>
      <c r="B369" s="68" t="s">
        <v>193</v>
      </c>
      <c r="C369" s="68" t="s">
        <v>194</v>
      </c>
      <c r="D369" s="68" t="s">
        <v>195</v>
      </c>
      <c r="E369" s="68" t="s">
        <v>196</v>
      </c>
      <c r="F369" s="68" t="s">
        <v>197</v>
      </c>
      <c r="G369" s="68" t="s">
        <v>198</v>
      </c>
      <c r="H369" s="68" t="s">
        <v>199</v>
      </c>
      <c r="I369" s="68" t="s">
        <v>200</v>
      </c>
    </row>
    <row r="370" ht="15.75" customHeight="1">
      <c r="A370" s="69" t="s">
        <v>201</v>
      </c>
      <c r="B370" s="69" t="s">
        <v>470</v>
      </c>
      <c r="C370" s="71"/>
      <c r="D370" s="72"/>
      <c r="E370" s="72"/>
      <c r="F370" s="72"/>
      <c r="G370" s="72"/>
      <c r="H370" s="72"/>
      <c r="I370" s="72"/>
    </row>
    <row r="371" ht="15.75" customHeight="1">
      <c r="A371" s="69" t="s">
        <v>203</v>
      </c>
      <c r="B371" s="69" t="s">
        <v>471</v>
      </c>
      <c r="C371" s="71"/>
      <c r="D371" s="72"/>
      <c r="E371" s="72"/>
      <c r="F371" s="72"/>
      <c r="G371" s="72"/>
      <c r="H371" s="72"/>
      <c r="I371" s="72"/>
    </row>
    <row r="372" ht="15.75" customHeight="1">
      <c r="A372" s="69" t="s">
        <v>204</v>
      </c>
      <c r="B372" s="69" t="s">
        <v>472</v>
      </c>
      <c r="C372" s="71"/>
      <c r="D372" s="72"/>
      <c r="E372" s="72"/>
      <c r="F372" s="72"/>
      <c r="G372" s="72"/>
      <c r="H372" s="72"/>
      <c r="I372" s="72"/>
    </row>
    <row r="373" ht="15.75" customHeight="1">
      <c r="A373" s="69" t="s">
        <v>205</v>
      </c>
      <c r="B373" s="69" t="s">
        <v>473</v>
      </c>
      <c r="C373" s="71"/>
      <c r="D373" s="72"/>
      <c r="E373" s="72"/>
      <c r="F373" s="72"/>
      <c r="G373" s="72"/>
      <c r="H373" s="72"/>
      <c r="I373" s="72"/>
    </row>
    <row r="374" ht="15.75" customHeight="1">
      <c r="A374" s="69" t="s">
        <v>206</v>
      </c>
      <c r="B374" s="69" t="s">
        <v>474</v>
      </c>
      <c r="C374" s="71"/>
      <c r="D374" s="72"/>
      <c r="E374" s="72"/>
      <c r="F374" s="72"/>
      <c r="G374" s="72"/>
      <c r="H374" s="72"/>
      <c r="I374" s="72"/>
    </row>
    <row r="375" ht="15.75" customHeight="1">
      <c r="A375" s="74" t="s">
        <v>207</v>
      </c>
      <c r="B375" s="74" t="s">
        <v>475</v>
      </c>
      <c r="C375" s="75"/>
      <c r="D375" s="76"/>
      <c r="E375" s="76"/>
      <c r="F375" s="76"/>
      <c r="G375" s="76"/>
      <c r="H375" s="76"/>
      <c r="I375" s="76"/>
    </row>
    <row r="376" ht="15.75" customHeight="1">
      <c r="A376" s="74" t="s">
        <v>209</v>
      </c>
      <c r="B376" s="74" t="s">
        <v>476</v>
      </c>
      <c r="C376" s="75"/>
      <c r="D376" s="76"/>
      <c r="E376" s="76"/>
      <c r="F376" s="76"/>
      <c r="G376" s="76"/>
      <c r="H376" s="76"/>
      <c r="I376" s="76"/>
    </row>
    <row r="377" ht="15.75" customHeight="1">
      <c r="A377" s="77" t="s">
        <v>211</v>
      </c>
      <c r="B377" s="11"/>
      <c r="C377" s="11"/>
      <c r="D377" s="78">
        <f t="shared" ref="D377:I377" si="34">SUM(D370:D376)</f>
        <v>0</v>
      </c>
      <c r="E377" s="78">
        <f t="shared" si="34"/>
        <v>0</v>
      </c>
      <c r="F377" s="78">
        <f t="shared" si="34"/>
        <v>0</v>
      </c>
      <c r="G377" s="78">
        <f t="shared" si="34"/>
        <v>0</v>
      </c>
      <c r="H377" s="78">
        <f t="shared" si="34"/>
        <v>0</v>
      </c>
      <c r="I377" s="78">
        <f t="shared" si="34"/>
        <v>0</v>
      </c>
    </row>
    <row r="378" ht="15.75" customHeight="1"/>
    <row r="379" ht="15.75" customHeight="1">
      <c r="A379" s="65" t="s">
        <v>477</v>
      </c>
      <c r="B379" s="66"/>
      <c r="C379" s="66"/>
      <c r="D379" s="66"/>
      <c r="E379" s="66"/>
      <c r="F379" s="66"/>
      <c r="G379" s="66"/>
      <c r="H379" s="66"/>
      <c r="I379" s="67"/>
    </row>
    <row r="380" ht="15.75" customHeight="1">
      <c r="A380" s="68" t="s">
        <v>192</v>
      </c>
      <c r="B380" s="68" t="s">
        <v>193</v>
      </c>
      <c r="C380" s="68" t="s">
        <v>194</v>
      </c>
      <c r="D380" s="68" t="s">
        <v>195</v>
      </c>
      <c r="E380" s="68" t="s">
        <v>196</v>
      </c>
      <c r="F380" s="68" t="s">
        <v>197</v>
      </c>
      <c r="G380" s="68" t="s">
        <v>198</v>
      </c>
      <c r="H380" s="68" t="s">
        <v>199</v>
      </c>
      <c r="I380" s="68" t="s">
        <v>200</v>
      </c>
    </row>
    <row r="381" ht="15.75" customHeight="1">
      <c r="A381" s="69" t="s">
        <v>201</v>
      </c>
      <c r="B381" s="69" t="s">
        <v>478</v>
      </c>
      <c r="C381" s="71"/>
      <c r="D381" s="72"/>
      <c r="E381" s="72"/>
      <c r="F381" s="72"/>
      <c r="G381" s="72"/>
      <c r="H381" s="72"/>
      <c r="I381" s="72"/>
    </row>
    <row r="382" ht="15.75" customHeight="1">
      <c r="A382" s="69" t="s">
        <v>203</v>
      </c>
      <c r="B382" s="69" t="s">
        <v>479</v>
      </c>
      <c r="C382" s="71"/>
      <c r="D382" s="72"/>
      <c r="E382" s="72"/>
      <c r="F382" s="72"/>
      <c r="G382" s="72"/>
      <c r="H382" s="72"/>
      <c r="I382" s="72"/>
    </row>
    <row r="383" ht="15.75" customHeight="1">
      <c r="A383" s="69" t="s">
        <v>204</v>
      </c>
      <c r="B383" s="69" t="s">
        <v>480</v>
      </c>
      <c r="C383" s="71"/>
      <c r="D383" s="72"/>
      <c r="E383" s="72"/>
      <c r="F383" s="72"/>
      <c r="G383" s="72"/>
      <c r="H383" s="72"/>
      <c r="I383" s="72"/>
    </row>
    <row r="384" ht="15.75" customHeight="1">
      <c r="A384" s="69" t="s">
        <v>205</v>
      </c>
      <c r="B384" s="69" t="s">
        <v>481</v>
      </c>
      <c r="C384" s="71"/>
      <c r="D384" s="72"/>
      <c r="E384" s="72"/>
      <c r="F384" s="72"/>
      <c r="G384" s="72"/>
      <c r="H384" s="72"/>
      <c r="I384" s="72"/>
    </row>
    <row r="385" ht="15.75" customHeight="1">
      <c r="A385" s="69" t="s">
        <v>206</v>
      </c>
      <c r="B385" s="69" t="s">
        <v>482</v>
      </c>
      <c r="C385" s="71"/>
      <c r="D385" s="72"/>
      <c r="E385" s="72"/>
      <c r="F385" s="72"/>
      <c r="G385" s="72"/>
      <c r="H385" s="72"/>
      <c r="I385" s="72"/>
    </row>
    <row r="386" ht="15.75" customHeight="1">
      <c r="A386" s="74" t="s">
        <v>207</v>
      </c>
      <c r="B386" s="74" t="s">
        <v>483</v>
      </c>
      <c r="C386" s="75"/>
      <c r="D386" s="76"/>
      <c r="E386" s="76"/>
      <c r="F386" s="76"/>
      <c r="G386" s="76"/>
      <c r="H386" s="76"/>
      <c r="I386" s="76"/>
    </row>
    <row r="387" ht="15.75" customHeight="1">
      <c r="A387" s="74" t="s">
        <v>209</v>
      </c>
      <c r="B387" s="74" t="s">
        <v>484</v>
      </c>
      <c r="C387" s="75"/>
      <c r="D387" s="76"/>
      <c r="E387" s="76"/>
      <c r="F387" s="76"/>
      <c r="G387" s="76"/>
      <c r="H387" s="76"/>
      <c r="I387" s="76"/>
    </row>
    <row r="388" ht="15.75" customHeight="1">
      <c r="A388" s="77" t="s">
        <v>211</v>
      </c>
      <c r="B388" s="11"/>
      <c r="C388" s="11"/>
      <c r="D388" s="78">
        <f t="shared" ref="D388:I388" si="35">SUM(D381:D387)</f>
        <v>0</v>
      </c>
      <c r="E388" s="78">
        <f t="shared" si="35"/>
        <v>0</v>
      </c>
      <c r="F388" s="78">
        <f t="shared" si="35"/>
        <v>0</v>
      </c>
      <c r="G388" s="78">
        <f t="shared" si="35"/>
        <v>0</v>
      </c>
      <c r="H388" s="78">
        <f t="shared" si="35"/>
        <v>0</v>
      </c>
      <c r="I388" s="78">
        <f t="shared" si="35"/>
        <v>0</v>
      </c>
    </row>
    <row r="389" ht="15.75" customHeight="1"/>
    <row r="390" ht="15.75" customHeight="1">
      <c r="A390" s="65" t="s">
        <v>485</v>
      </c>
      <c r="B390" s="66"/>
      <c r="C390" s="66"/>
      <c r="D390" s="66"/>
      <c r="E390" s="66"/>
      <c r="F390" s="66"/>
      <c r="G390" s="66"/>
      <c r="H390" s="66"/>
      <c r="I390" s="67"/>
    </row>
    <row r="391" ht="15.75" customHeight="1">
      <c r="A391" s="68" t="s">
        <v>192</v>
      </c>
      <c r="B391" s="68" t="s">
        <v>193</v>
      </c>
      <c r="C391" s="68" t="s">
        <v>194</v>
      </c>
      <c r="D391" s="68" t="s">
        <v>195</v>
      </c>
      <c r="E391" s="68" t="s">
        <v>196</v>
      </c>
      <c r="F391" s="68" t="s">
        <v>197</v>
      </c>
      <c r="G391" s="68" t="s">
        <v>198</v>
      </c>
      <c r="H391" s="68" t="s">
        <v>199</v>
      </c>
      <c r="I391" s="68" t="s">
        <v>200</v>
      </c>
    </row>
    <row r="392" ht="15.75" customHeight="1">
      <c r="A392" s="69" t="s">
        <v>201</v>
      </c>
      <c r="B392" s="69" t="s">
        <v>486</v>
      </c>
      <c r="C392" s="71"/>
      <c r="D392" s="72"/>
      <c r="E392" s="72"/>
      <c r="F392" s="72"/>
      <c r="G392" s="72"/>
      <c r="H392" s="72"/>
      <c r="I392" s="72"/>
    </row>
    <row r="393" ht="15.75" customHeight="1">
      <c r="A393" s="69" t="s">
        <v>203</v>
      </c>
      <c r="B393" s="69" t="s">
        <v>487</v>
      </c>
      <c r="C393" s="71"/>
      <c r="D393" s="72"/>
      <c r="E393" s="72"/>
      <c r="F393" s="72"/>
      <c r="G393" s="72"/>
      <c r="H393" s="72"/>
      <c r="I393" s="72"/>
    </row>
    <row r="394" ht="15.75" customHeight="1">
      <c r="A394" s="69" t="s">
        <v>204</v>
      </c>
      <c r="B394" s="69" t="s">
        <v>488</v>
      </c>
      <c r="C394" s="71"/>
      <c r="D394" s="72"/>
      <c r="E394" s="72"/>
      <c r="F394" s="72"/>
      <c r="G394" s="72"/>
      <c r="H394" s="72"/>
      <c r="I394" s="72"/>
    </row>
    <row r="395" ht="15.75" customHeight="1">
      <c r="A395" s="69" t="s">
        <v>205</v>
      </c>
      <c r="B395" s="69" t="s">
        <v>489</v>
      </c>
      <c r="C395" s="71"/>
      <c r="D395" s="72"/>
      <c r="E395" s="72"/>
      <c r="F395" s="72"/>
      <c r="G395" s="72"/>
      <c r="H395" s="72"/>
      <c r="I395" s="72"/>
    </row>
    <row r="396" ht="15.75" customHeight="1">
      <c r="A396" s="69" t="s">
        <v>206</v>
      </c>
      <c r="B396" s="69" t="s">
        <v>490</v>
      </c>
      <c r="C396" s="71"/>
      <c r="D396" s="72"/>
      <c r="E396" s="72"/>
      <c r="F396" s="72"/>
      <c r="G396" s="72"/>
      <c r="H396" s="72"/>
      <c r="I396" s="72"/>
    </row>
    <row r="397" ht="15.75" customHeight="1">
      <c r="A397" s="74" t="s">
        <v>207</v>
      </c>
      <c r="B397" s="74" t="s">
        <v>491</v>
      </c>
      <c r="C397" s="75"/>
      <c r="D397" s="76"/>
      <c r="E397" s="76"/>
      <c r="F397" s="76"/>
      <c r="G397" s="76"/>
      <c r="H397" s="76"/>
      <c r="I397" s="76"/>
    </row>
    <row r="398" ht="15.75" customHeight="1">
      <c r="A398" s="74" t="s">
        <v>209</v>
      </c>
      <c r="B398" s="74" t="s">
        <v>492</v>
      </c>
      <c r="C398" s="75"/>
      <c r="D398" s="76"/>
      <c r="E398" s="76"/>
      <c r="F398" s="76"/>
      <c r="G398" s="76"/>
      <c r="H398" s="76"/>
      <c r="I398" s="76"/>
    </row>
    <row r="399" ht="15.75" customHeight="1">
      <c r="A399" s="77" t="s">
        <v>211</v>
      </c>
      <c r="B399" s="11"/>
      <c r="C399" s="11"/>
      <c r="D399" s="78">
        <f t="shared" ref="D399:I399" si="36">SUM(D392:D398)</f>
        <v>0</v>
      </c>
      <c r="E399" s="78">
        <f t="shared" si="36"/>
        <v>0</v>
      </c>
      <c r="F399" s="78">
        <f t="shared" si="36"/>
        <v>0</v>
      </c>
      <c r="G399" s="78">
        <f t="shared" si="36"/>
        <v>0</v>
      </c>
      <c r="H399" s="78">
        <f t="shared" si="36"/>
        <v>0</v>
      </c>
      <c r="I399" s="78">
        <f t="shared" si="36"/>
        <v>0</v>
      </c>
    </row>
    <row r="400" ht="15.75" customHeight="1"/>
    <row r="401" ht="15.75" customHeight="1">
      <c r="A401" s="65" t="s">
        <v>493</v>
      </c>
      <c r="B401" s="66"/>
      <c r="C401" s="66"/>
      <c r="D401" s="66"/>
      <c r="E401" s="66"/>
      <c r="F401" s="66"/>
      <c r="G401" s="66"/>
      <c r="H401" s="66"/>
      <c r="I401" s="67"/>
    </row>
    <row r="402" ht="15.75" customHeight="1">
      <c r="A402" s="68" t="s">
        <v>192</v>
      </c>
      <c r="B402" s="68" t="s">
        <v>193</v>
      </c>
      <c r="C402" s="68" t="s">
        <v>194</v>
      </c>
      <c r="D402" s="68" t="s">
        <v>195</v>
      </c>
      <c r="E402" s="68" t="s">
        <v>196</v>
      </c>
      <c r="F402" s="68" t="s">
        <v>197</v>
      </c>
      <c r="G402" s="68" t="s">
        <v>198</v>
      </c>
      <c r="H402" s="68" t="s">
        <v>199</v>
      </c>
      <c r="I402" s="68" t="s">
        <v>200</v>
      </c>
    </row>
    <row r="403" ht="15.75" customHeight="1">
      <c r="A403" s="69" t="s">
        <v>201</v>
      </c>
      <c r="B403" s="69" t="s">
        <v>494</v>
      </c>
      <c r="C403" s="71"/>
      <c r="D403" s="72"/>
      <c r="E403" s="72"/>
      <c r="F403" s="72"/>
      <c r="G403" s="72"/>
      <c r="H403" s="72"/>
      <c r="I403" s="72"/>
    </row>
    <row r="404" ht="15.75" customHeight="1">
      <c r="A404" s="69" t="s">
        <v>203</v>
      </c>
      <c r="B404" s="69" t="s">
        <v>495</v>
      </c>
      <c r="C404" s="71"/>
      <c r="D404" s="72"/>
      <c r="E404" s="72"/>
      <c r="F404" s="72"/>
      <c r="G404" s="72"/>
      <c r="H404" s="72"/>
      <c r="I404" s="72"/>
    </row>
    <row r="405" ht="15.75" customHeight="1">
      <c r="A405" s="69" t="s">
        <v>204</v>
      </c>
      <c r="B405" s="69" t="s">
        <v>496</v>
      </c>
      <c r="C405" s="71"/>
      <c r="D405" s="72"/>
      <c r="E405" s="72"/>
      <c r="F405" s="72"/>
      <c r="G405" s="72"/>
      <c r="H405" s="72"/>
      <c r="I405" s="72"/>
    </row>
    <row r="406" ht="15.75" customHeight="1">
      <c r="A406" s="69" t="s">
        <v>205</v>
      </c>
      <c r="B406" s="69" t="s">
        <v>497</v>
      </c>
      <c r="C406" s="71"/>
      <c r="D406" s="72"/>
      <c r="E406" s="72"/>
      <c r="F406" s="72"/>
      <c r="G406" s="72"/>
      <c r="H406" s="72"/>
      <c r="I406" s="72"/>
    </row>
    <row r="407" ht="15.75" customHeight="1">
      <c r="A407" s="69" t="s">
        <v>206</v>
      </c>
      <c r="B407" s="69" t="s">
        <v>498</v>
      </c>
      <c r="C407" s="71"/>
      <c r="D407" s="72"/>
      <c r="E407" s="72"/>
      <c r="F407" s="72"/>
      <c r="G407" s="72"/>
      <c r="H407" s="72"/>
      <c r="I407" s="72"/>
    </row>
    <row r="408" ht="15.75" customHeight="1">
      <c r="A408" s="74" t="s">
        <v>207</v>
      </c>
      <c r="B408" s="74" t="s">
        <v>499</v>
      </c>
      <c r="C408" s="75"/>
      <c r="D408" s="76"/>
      <c r="E408" s="76"/>
      <c r="F408" s="76"/>
      <c r="G408" s="76"/>
      <c r="H408" s="76"/>
      <c r="I408" s="76"/>
    </row>
    <row r="409" ht="15.75" customHeight="1">
      <c r="A409" s="74" t="s">
        <v>209</v>
      </c>
      <c r="B409" s="74" t="s">
        <v>500</v>
      </c>
      <c r="C409" s="75"/>
      <c r="D409" s="76"/>
      <c r="E409" s="76"/>
      <c r="F409" s="76"/>
      <c r="G409" s="76"/>
      <c r="H409" s="76"/>
      <c r="I409" s="76"/>
    </row>
    <row r="410" ht="15.75" customHeight="1">
      <c r="A410" s="77" t="s">
        <v>211</v>
      </c>
      <c r="B410" s="11"/>
      <c r="C410" s="11"/>
      <c r="D410" s="78">
        <f t="shared" ref="D410:I410" si="37">SUM(D403:D409)</f>
        <v>0</v>
      </c>
      <c r="E410" s="78">
        <f t="shared" si="37"/>
        <v>0</v>
      </c>
      <c r="F410" s="78">
        <f t="shared" si="37"/>
        <v>0</v>
      </c>
      <c r="G410" s="78">
        <f t="shared" si="37"/>
        <v>0</v>
      </c>
      <c r="H410" s="78">
        <f t="shared" si="37"/>
        <v>0</v>
      </c>
      <c r="I410" s="78">
        <f t="shared" si="37"/>
        <v>0</v>
      </c>
    </row>
    <row r="411" ht="15.75" customHeight="1"/>
    <row r="412" ht="15.75" customHeight="1">
      <c r="A412" s="65" t="s">
        <v>501</v>
      </c>
      <c r="B412" s="66"/>
      <c r="C412" s="66"/>
      <c r="D412" s="66"/>
      <c r="E412" s="66"/>
      <c r="F412" s="66"/>
      <c r="G412" s="66"/>
      <c r="H412" s="66"/>
      <c r="I412" s="67"/>
    </row>
    <row r="413" ht="15.75" customHeight="1">
      <c r="A413" s="68" t="s">
        <v>192</v>
      </c>
      <c r="B413" s="68" t="s">
        <v>193</v>
      </c>
      <c r="C413" s="68" t="s">
        <v>194</v>
      </c>
      <c r="D413" s="68" t="s">
        <v>195</v>
      </c>
      <c r="E413" s="68" t="s">
        <v>196</v>
      </c>
      <c r="F413" s="68" t="s">
        <v>197</v>
      </c>
      <c r="G413" s="68" t="s">
        <v>198</v>
      </c>
      <c r="H413" s="68" t="s">
        <v>199</v>
      </c>
      <c r="I413" s="68" t="s">
        <v>200</v>
      </c>
    </row>
    <row r="414" ht="15.75" customHeight="1">
      <c r="A414" s="69" t="s">
        <v>201</v>
      </c>
      <c r="B414" s="69" t="s">
        <v>502</v>
      </c>
      <c r="C414" s="71"/>
      <c r="D414" s="72"/>
      <c r="E414" s="72"/>
      <c r="F414" s="72"/>
      <c r="G414" s="72"/>
      <c r="H414" s="72"/>
      <c r="I414" s="72"/>
    </row>
    <row r="415" ht="15.75" customHeight="1">
      <c r="A415" s="69" t="s">
        <v>203</v>
      </c>
      <c r="B415" s="69" t="s">
        <v>503</v>
      </c>
      <c r="C415" s="71"/>
      <c r="D415" s="72"/>
      <c r="E415" s="72"/>
      <c r="F415" s="72"/>
      <c r="G415" s="72"/>
      <c r="H415" s="72"/>
      <c r="I415" s="72"/>
    </row>
    <row r="416" ht="15.75" customHeight="1">
      <c r="A416" s="69" t="s">
        <v>204</v>
      </c>
      <c r="B416" s="69" t="s">
        <v>504</v>
      </c>
      <c r="C416" s="71"/>
      <c r="D416" s="72"/>
      <c r="E416" s="72"/>
      <c r="F416" s="72"/>
      <c r="G416" s="72"/>
      <c r="H416" s="72"/>
      <c r="I416" s="72"/>
    </row>
    <row r="417" ht="15.75" customHeight="1">
      <c r="A417" s="69" t="s">
        <v>205</v>
      </c>
      <c r="B417" s="69" t="s">
        <v>505</v>
      </c>
      <c r="C417" s="71"/>
      <c r="D417" s="72"/>
      <c r="E417" s="72"/>
      <c r="F417" s="72"/>
      <c r="G417" s="72"/>
      <c r="H417" s="72"/>
      <c r="I417" s="72"/>
    </row>
    <row r="418" ht="15.75" customHeight="1">
      <c r="A418" s="69" t="s">
        <v>206</v>
      </c>
      <c r="B418" s="69" t="s">
        <v>506</v>
      </c>
      <c r="C418" s="71"/>
      <c r="D418" s="72"/>
      <c r="E418" s="72"/>
      <c r="F418" s="72"/>
      <c r="G418" s="72"/>
      <c r="H418" s="72"/>
      <c r="I418" s="72"/>
    </row>
    <row r="419" ht="15.75" customHeight="1">
      <c r="A419" s="74" t="s">
        <v>207</v>
      </c>
      <c r="B419" s="74" t="s">
        <v>507</v>
      </c>
      <c r="C419" s="75"/>
      <c r="D419" s="76"/>
      <c r="E419" s="76"/>
      <c r="F419" s="76"/>
      <c r="G419" s="76"/>
      <c r="H419" s="76"/>
      <c r="I419" s="76"/>
    </row>
    <row r="420" ht="15.75" customHeight="1">
      <c r="A420" s="74" t="s">
        <v>209</v>
      </c>
      <c r="B420" s="74" t="s">
        <v>508</v>
      </c>
      <c r="C420" s="75"/>
      <c r="D420" s="76"/>
      <c r="E420" s="76"/>
      <c r="F420" s="76"/>
      <c r="G420" s="76"/>
      <c r="H420" s="76"/>
      <c r="I420" s="76"/>
    </row>
    <row r="421" ht="15.75" customHeight="1">
      <c r="A421" s="77" t="s">
        <v>211</v>
      </c>
      <c r="B421" s="11"/>
      <c r="C421" s="11"/>
      <c r="D421" s="78">
        <f t="shared" ref="D421:I421" si="38">SUM(D414:D420)</f>
        <v>0</v>
      </c>
      <c r="E421" s="78">
        <f t="shared" si="38"/>
        <v>0</v>
      </c>
      <c r="F421" s="78">
        <f t="shared" si="38"/>
        <v>0</v>
      </c>
      <c r="G421" s="78">
        <f t="shared" si="38"/>
        <v>0</v>
      </c>
      <c r="H421" s="78">
        <f t="shared" si="38"/>
        <v>0</v>
      </c>
      <c r="I421" s="78">
        <f t="shared" si="38"/>
        <v>0</v>
      </c>
    </row>
    <row r="422" ht="15.75" customHeight="1"/>
    <row r="423" ht="15.75" customHeight="1">
      <c r="A423" s="65" t="s">
        <v>509</v>
      </c>
      <c r="B423" s="66"/>
      <c r="C423" s="66"/>
      <c r="D423" s="66"/>
      <c r="E423" s="66"/>
      <c r="F423" s="66"/>
      <c r="G423" s="66"/>
      <c r="H423" s="66"/>
      <c r="I423" s="67"/>
    </row>
    <row r="424" ht="15.75" customHeight="1">
      <c r="A424" s="68" t="s">
        <v>192</v>
      </c>
      <c r="B424" s="68" t="s">
        <v>193</v>
      </c>
      <c r="C424" s="68" t="s">
        <v>194</v>
      </c>
      <c r="D424" s="68" t="s">
        <v>195</v>
      </c>
      <c r="E424" s="68" t="s">
        <v>196</v>
      </c>
      <c r="F424" s="68" t="s">
        <v>197</v>
      </c>
      <c r="G424" s="68" t="s">
        <v>198</v>
      </c>
      <c r="H424" s="68" t="s">
        <v>199</v>
      </c>
      <c r="I424" s="68" t="s">
        <v>200</v>
      </c>
    </row>
    <row r="425" ht="15.75" customHeight="1">
      <c r="A425" s="69" t="s">
        <v>201</v>
      </c>
      <c r="B425" s="69" t="s">
        <v>510</v>
      </c>
      <c r="C425" s="71"/>
      <c r="D425" s="72"/>
      <c r="E425" s="72"/>
      <c r="F425" s="72"/>
      <c r="G425" s="72"/>
      <c r="H425" s="72"/>
      <c r="I425" s="72"/>
    </row>
    <row r="426" ht="15.75" customHeight="1">
      <c r="A426" s="69" t="s">
        <v>203</v>
      </c>
      <c r="B426" s="69" t="s">
        <v>511</v>
      </c>
      <c r="C426" s="71"/>
      <c r="D426" s="72"/>
      <c r="E426" s="72"/>
      <c r="F426" s="72"/>
      <c r="G426" s="72"/>
      <c r="H426" s="72"/>
      <c r="I426" s="72"/>
    </row>
    <row r="427" ht="15.75" customHeight="1">
      <c r="A427" s="69" t="s">
        <v>204</v>
      </c>
      <c r="B427" s="69" t="s">
        <v>512</v>
      </c>
      <c r="C427" s="71"/>
      <c r="D427" s="72"/>
      <c r="E427" s="72"/>
      <c r="F427" s="72"/>
      <c r="G427" s="72"/>
      <c r="H427" s="72"/>
      <c r="I427" s="72"/>
    </row>
    <row r="428" ht="15.75" customHeight="1">
      <c r="A428" s="69" t="s">
        <v>205</v>
      </c>
      <c r="B428" s="69" t="s">
        <v>513</v>
      </c>
      <c r="C428" s="71"/>
      <c r="D428" s="72"/>
      <c r="E428" s="72"/>
      <c r="F428" s="72"/>
      <c r="G428" s="72"/>
      <c r="H428" s="72"/>
      <c r="I428" s="72"/>
    </row>
    <row r="429" ht="15.75" customHeight="1">
      <c r="A429" s="69" t="s">
        <v>206</v>
      </c>
      <c r="B429" s="69" t="s">
        <v>514</v>
      </c>
      <c r="C429" s="71"/>
      <c r="D429" s="72"/>
      <c r="E429" s="72"/>
      <c r="F429" s="72"/>
      <c r="G429" s="72"/>
      <c r="H429" s="72"/>
      <c r="I429" s="72"/>
    </row>
    <row r="430" ht="15.75" customHeight="1">
      <c r="A430" s="74" t="s">
        <v>207</v>
      </c>
      <c r="B430" s="74" t="s">
        <v>515</v>
      </c>
      <c r="C430" s="75"/>
      <c r="D430" s="76"/>
      <c r="E430" s="76"/>
      <c r="F430" s="76"/>
      <c r="G430" s="76"/>
      <c r="H430" s="76"/>
      <c r="I430" s="76"/>
    </row>
    <row r="431" ht="15.75" customHeight="1">
      <c r="A431" s="74" t="s">
        <v>209</v>
      </c>
      <c r="B431" s="74" t="s">
        <v>516</v>
      </c>
      <c r="C431" s="75"/>
      <c r="D431" s="76"/>
      <c r="E431" s="76"/>
      <c r="F431" s="76"/>
      <c r="G431" s="76"/>
      <c r="H431" s="76"/>
      <c r="I431" s="76"/>
    </row>
    <row r="432" ht="15.75" customHeight="1">
      <c r="A432" s="77" t="s">
        <v>211</v>
      </c>
      <c r="B432" s="11"/>
      <c r="C432" s="11"/>
      <c r="D432" s="78">
        <f t="shared" ref="D432:I432" si="39">SUM(D425:D431)</f>
        <v>0</v>
      </c>
      <c r="E432" s="78">
        <f t="shared" si="39"/>
        <v>0</v>
      </c>
      <c r="F432" s="78">
        <f t="shared" si="39"/>
        <v>0</v>
      </c>
      <c r="G432" s="78">
        <f t="shared" si="39"/>
        <v>0</v>
      </c>
      <c r="H432" s="78">
        <f t="shared" si="39"/>
        <v>0</v>
      </c>
      <c r="I432" s="78">
        <f t="shared" si="39"/>
        <v>0</v>
      </c>
    </row>
    <row r="433" ht="15.75" customHeight="1"/>
    <row r="434" ht="15.75" customHeight="1">
      <c r="A434" s="65" t="s">
        <v>517</v>
      </c>
      <c r="B434" s="66"/>
      <c r="C434" s="66"/>
      <c r="D434" s="66"/>
      <c r="E434" s="66"/>
      <c r="F434" s="66"/>
      <c r="G434" s="66"/>
      <c r="H434" s="66"/>
      <c r="I434" s="67"/>
    </row>
    <row r="435" ht="15.75" customHeight="1">
      <c r="A435" s="68" t="s">
        <v>192</v>
      </c>
      <c r="B435" s="68" t="s">
        <v>193</v>
      </c>
      <c r="C435" s="68" t="s">
        <v>194</v>
      </c>
      <c r="D435" s="68" t="s">
        <v>195</v>
      </c>
      <c r="E435" s="68" t="s">
        <v>196</v>
      </c>
      <c r="F435" s="68" t="s">
        <v>197</v>
      </c>
      <c r="G435" s="68" t="s">
        <v>198</v>
      </c>
      <c r="H435" s="68" t="s">
        <v>199</v>
      </c>
      <c r="I435" s="68" t="s">
        <v>200</v>
      </c>
    </row>
    <row r="436" ht="15.75" customHeight="1">
      <c r="A436" s="69" t="s">
        <v>201</v>
      </c>
      <c r="B436" s="69" t="s">
        <v>518</v>
      </c>
      <c r="C436" s="71"/>
      <c r="D436" s="72"/>
      <c r="E436" s="72"/>
      <c r="F436" s="72"/>
      <c r="G436" s="72"/>
      <c r="H436" s="72"/>
      <c r="I436" s="72"/>
    </row>
    <row r="437" ht="15.75" customHeight="1">
      <c r="A437" s="69" t="s">
        <v>203</v>
      </c>
      <c r="B437" s="69" t="s">
        <v>519</v>
      </c>
      <c r="C437" s="71"/>
      <c r="D437" s="72"/>
      <c r="E437" s="72"/>
      <c r="F437" s="72"/>
      <c r="G437" s="72"/>
      <c r="H437" s="72"/>
      <c r="I437" s="72"/>
    </row>
    <row r="438" ht="15.75" customHeight="1">
      <c r="A438" s="69" t="s">
        <v>204</v>
      </c>
      <c r="B438" s="69" t="s">
        <v>520</v>
      </c>
      <c r="C438" s="71"/>
      <c r="D438" s="72"/>
      <c r="E438" s="72"/>
      <c r="F438" s="72"/>
      <c r="G438" s="72"/>
      <c r="H438" s="72"/>
      <c r="I438" s="72"/>
    </row>
    <row r="439" ht="15.75" customHeight="1">
      <c r="A439" s="69" t="s">
        <v>205</v>
      </c>
      <c r="B439" s="69" t="s">
        <v>521</v>
      </c>
      <c r="C439" s="71"/>
      <c r="D439" s="72"/>
      <c r="E439" s="72"/>
      <c r="F439" s="72"/>
      <c r="G439" s="72"/>
      <c r="H439" s="72"/>
      <c r="I439" s="72"/>
    </row>
    <row r="440" ht="15.75" customHeight="1">
      <c r="A440" s="69" t="s">
        <v>206</v>
      </c>
      <c r="B440" s="69" t="s">
        <v>522</v>
      </c>
      <c r="C440" s="71"/>
      <c r="D440" s="72"/>
      <c r="E440" s="72"/>
      <c r="F440" s="72"/>
      <c r="G440" s="72"/>
      <c r="H440" s="72"/>
      <c r="I440" s="72"/>
    </row>
    <row r="441" ht="15.75" customHeight="1">
      <c r="A441" s="74" t="s">
        <v>207</v>
      </c>
      <c r="B441" s="74" t="s">
        <v>523</v>
      </c>
      <c r="C441" s="75"/>
      <c r="D441" s="76"/>
      <c r="E441" s="76"/>
      <c r="F441" s="76"/>
      <c r="G441" s="76"/>
      <c r="H441" s="76"/>
      <c r="I441" s="76"/>
    </row>
    <row r="442" ht="15.75" customHeight="1">
      <c r="A442" s="74" t="s">
        <v>209</v>
      </c>
      <c r="B442" s="74" t="s">
        <v>524</v>
      </c>
      <c r="C442" s="75"/>
      <c r="D442" s="76"/>
      <c r="E442" s="76"/>
      <c r="F442" s="76"/>
      <c r="G442" s="76"/>
      <c r="H442" s="76"/>
      <c r="I442" s="76"/>
    </row>
    <row r="443" ht="15.75" customHeight="1">
      <c r="A443" s="77" t="s">
        <v>211</v>
      </c>
      <c r="B443" s="11"/>
      <c r="C443" s="11"/>
      <c r="D443" s="78">
        <f t="shared" ref="D443:I443" si="40">SUM(D436:D442)</f>
        <v>0</v>
      </c>
      <c r="E443" s="78">
        <f t="shared" si="40"/>
        <v>0</v>
      </c>
      <c r="F443" s="78">
        <f t="shared" si="40"/>
        <v>0</v>
      </c>
      <c r="G443" s="78">
        <f t="shared" si="40"/>
        <v>0</v>
      </c>
      <c r="H443" s="78">
        <f t="shared" si="40"/>
        <v>0</v>
      </c>
      <c r="I443" s="78">
        <f t="shared" si="40"/>
        <v>0</v>
      </c>
    </row>
    <row r="444" ht="15.75" customHeight="1"/>
    <row r="445" ht="15.75" customHeight="1">
      <c r="A445" s="65" t="s">
        <v>525</v>
      </c>
      <c r="B445" s="66"/>
      <c r="C445" s="66"/>
      <c r="D445" s="66"/>
      <c r="E445" s="66"/>
      <c r="F445" s="66"/>
      <c r="G445" s="66"/>
      <c r="H445" s="66"/>
      <c r="I445" s="67"/>
    </row>
    <row r="446" ht="15.75" customHeight="1">
      <c r="A446" s="68" t="s">
        <v>192</v>
      </c>
      <c r="B446" s="68" t="s">
        <v>193</v>
      </c>
      <c r="C446" s="68" t="s">
        <v>194</v>
      </c>
      <c r="D446" s="68" t="s">
        <v>195</v>
      </c>
      <c r="E446" s="68" t="s">
        <v>196</v>
      </c>
      <c r="F446" s="68" t="s">
        <v>197</v>
      </c>
      <c r="G446" s="68" t="s">
        <v>198</v>
      </c>
      <c r="H446" s="68" t="s">
        <v>199</v>
      </c>
      <c r="I446" s="68" t="s">
        <v>200</v>
      </c>
    </row>
    <row r="447" ht="15.75" customHeight="1">
      <c r="A447" s="69" t="s">
        <v>201</v>
      </c>
      <c r="B447" s="69" t="s">
        <v>526</v>
      </c>
      <c r="C447" s="71"/>
      <c r="D447" s="72"/>
      <c r="E447" s="72"/>
      <c r="F447" s="72"/>
      <c r="G447" s="72"/>
      <c r="H447" s="72"/>
      <c r="I447" s="72"/>
    </row>
    <row r="448" ht="15.75" customHeight="1">
      <c r="A448" s="69" t="s">
        <v>203</v>
      </c>
      <c r="B448" s="69" t="s">
        <v>527</v>
      </c>
      <c r="C448" s="71"/>
      <c r="D448" s="72"/>
      <c r="E448" s="72"/>
      <c r="F448" s="72"/>
      <c r="G448" s="72"/>
      <c r="H448" s="72"/>
      <c r="I448" s="72"/>
    </row>
    <row r="449" ht="15.75" customHeight="1">
      <c r="A449" s="69" t="s">
        <v>204</v>
      </c>
      <c r="B449" s="69" t="s">
        <v>528</v>
      </c>
      <c r="C449" s="71"/>
      <c r="D449" s="72"/>
      <c r="E449" s="72"/>
      <c r="F449" s="72"/>
      <c r="G449" s="72"/>
      <c r="H449" s="72"/>
      <c r="I449" s="72"/>
    </row>
    <row r="450" ht="15.75" customHeight="1">
      <c r="A450" s="69" t="s">
        <v>205</v>
      </c>
      <c r="B450" s="69" t="s">
        <v>529</v>
      </c>
      <c r="C450" s="71"/>
      <c r="D450" s="72"/>
      <c r="E450" s="72"/>
      <c r="F450" s="72"/>
      <c r="G450" s="72"/>
      <c r="H450" s="72"/>
      <c r="I450" s="72"/>
    </row>
    <row r="451" ht="15.75" customHeight="1">
      <c r="A451" s="69" t="s">
        <v>206</v>
      </c>
      <c r="B451" s="69" t="s">
        <v>530</v>
      </c>
      <c r="C451" s="71"/>
      <c r="D451" s="72"/>
      <c r="E451" s="72"/>
      <c r="F451" s="72"/>
      <c r="G451" s="72"/>
      <c r="H451" s="72"/>
      <c r="I451" s="72"/>
    </row>
    <row r="452" ht="15.75" customHeight="1">
      <c r="A452" s="74" t="s">
        <v>207</v>
      </c>
      <c r="B452" s="74" t="s">
        <v>531</v>
      </c>
      <c r="C452" s="75"/>
      <c r="D452" s="76"/>
      <c r="E452" s="76"/>
      <c r="F452" s="76"/>
      <c r="G452" s="76"/>
      <c r="H452" s="76"/>
      <c r="I452" s="76"/>
    </row>
    <row r="453" ht="15.75" customHeight="1">
      <c r="A453" s="74" t="s">
        <v>209</v>
      </c>
      <c r="B453" s="74" t="s">
        <v>532</v>
      </c>
      <c r="C453" s="75"/>
      <c r="D453" s="76"/>
      <c r="E453" s="76"/>
      <c r="F453" s="76"/>
      <c r="G453" s="76"/>
      <c r="H453" s="76"/>
      <c r="I453" s="76"/>
    </row>
    <row r="454" ht="15.75" customHeight="1">
      <c r="A454" s="77" t="s">
        <v>211</v>
      </c>
      <c r="B454" s="11"/>
      <c r="C454" s="11"/>
      <c r="D454" s="78">
        <f t="shared" ref="D454:I454" si="41">SUM(D447:D453)</f>
        <v>0</v>
      </c>
      <c r="E454" s="78">
        <f t="shared" si="41"/>
        <v>0</v>
      </c>
      <c r="F454" s="78">
        <f t="shared" si="41"/>
        <v>0</v>
      </c>
      <c r="G454" s="78">
        <f t="shared" si="41"/>
        <v>0</v>
      </c>
      <c r="H454" s="78">
        <f t="shared" si="41"/>
        <v>0</v>
      </c>
      <c r="I454" s="78">
        <f t="shared" si="41"/>
        <v>0</v>
      </c>
    </row>
    <row r="455" ht="15.75" customHeight="1"/>
    <row r="456" ht="15.75" customHeight="1">
      <c r="A456" s="65" t="s">
        <v>533</v>
      </c>
      <c r="B456" s="66"/>
      <c r="C456" s="66"/>
      <c r="D456" s="66"/>
      <c r="E456" s="66"/>
      <c r="F456" s="66"/>
      <c r="G456" s="66"/>
      <c r="H456" s="66"/>
      <c r="I456" s="67"/>
    </row>
    <row r="457" ht="15.75" customHeight="1">
      <c r="A457" s="68" t="s">
        <v>192</v>
      </c>
      <c r="B457" s="68" t="s">
        <v>193</v>
      </c>
      <c r="C457" s="68" t="s">
        <v>194</v>
      </c>
      <c r="D457" s="68" t="s">
        <v>195</v>
      </c>
      <c r="E457" s="68" t="s">
        <v>196</v>
      </c>
      <c r="F457" s="68" t="s">
        <v>197</v>
      </c>
      <c r="G457" s="68" t="s">
        <v>198</v>
      </c>
      <c r="H457" s="68" t="s">
        <v>199</v>
      </c>
      <c r="I457" s="68" t="s">
        <v>200</v>
      </c>
    </row>
    <row r="458" ht="15.75" customHeight="1">
      <c r="A458" s="69" t="s">
        <v>201</v>
      </c>
      <c r="B458" s="69" t="s">
        <v>534</v>
      </c>
      <c r="C458" s="71"/>
      <c r="D458" s="72"/>
      <c r="E458" s="72"/>
      <c r="F458" s="72"/>
      <c r="G458" s="72"/>
      <c r="H458" s="72"/>
      <c r="I458" s="72"/>
    </row>
    <row r="459" ht="15.75" customHeight="1">
      <c r="A459" s="69" t="s">
        <v>203</v>
      </c>
      <c r="B459" s="69" t="s">
        <v>535</v>
      </c>
      <c r="C459" s="71"/>
      <c r="D459" s="72"/>
      <c r="E459" s="72"/>
      <c r="F459" s="72"/>
      <c r="G459" s="72"/>
      <c r="H459" s="72"/>
      <c r="I459" s="72"/>
    </row>
    <row r="460" ht="15.75" customHeight="1">
      <c r="A460" s="69" t="s">
        <v>204</v>
      </c>
      <c r="B460" s="69" t="s">
        <v>536</v>
      </c>
      <c r="C460" s="71"/>
      <c r="D460" s="72"/>
      <c r="E460" s="72"/>
      <c r="F460" s="72"/>
      <c r="G460" s="72"/>
      <c r="H460" s="72"/>
      <c r="I460" s="72"/>
    </row>
    <row r="461" ht="15.75" customHeight="1">
      <c r="A461" s="69" t="s">
        <v>205</v>
      </c>
      <c r="B461" s="69" t="s">
        <v>537</v>
      </c>
      <c r="C461" s="71"/>
      <c r="D461" s="72"/>
      <c r="E461" s="72"/>
      <c r="F461" s="72"/>
      <c r="G461" s="72"/>
      <c r="H461" s="72"/>
      <c r="I461" s="72"/>
    </row>
    <row r="462" ht="15.75" customHeight="1">
      <c r="A462" s="69" t="s">
        <v>206</v>
      </c>
      <c r="B462" s="69" t="s">
        <v>538</v>
      </c>
      <c r="C462" s="71"/>
      <c r="D462" s="72"/>
      <c r="E462" s="72"/>
      <c r="F462" s="72"/>
      <c r="G462" s="72"/>
      <c r="H462" s="72"/>
      <c r="I462" s="72"/>
    </row>
    <row r="463" ht="15.75" customHeight="1">
      <c r="A463" s="74" t="s">
        <v>207</v>
      </c>
      <c r="B463" s="74" t="s">
        <v>539</v>
      </c>
      <c r="C463" s="75"/>
      <c r="D463" s="76"/>
      <c r="E463" s="76"/>
      <c r="F463" s="76"/>
      <c r="G463" s="76"/>
      <c r="H463" s="76"/>
      <c r="I463" s="76"/>
    </row>
    <row r="464" ht="15.75" customHeight="1">
      <c r="A464" s="74" t="s">
        <v>209</v>
      </c>
      <c r="B464" s="74" t="s">
        <v>540</v>
      </c>
      <c r="C464" s="75"/>
      <c r="D464" s="76"/>
      <c r="E464" s="76"/>
      <c r="F464" s="76"/>
      <c r="G464" s="76"/>
      <c r="H464" s="76"/>
      <c r="I464" s="76"/>
    </row>
    <row r="465" ht="15.75" customHeight="1">
      <c r="A465" s="77" t="s">
        <v>211</v>
      </c>
      <c r="B465" s="11"/>
      <c r="C465" s="11"/>
      <c r="D465" s="78">
        <f t="shared" ref="D465:I465" si="42">SUM(D458:D464)</f>
        <v>0</v>
      </c>
      <c r="E465" s="78">
        <f t="shared" si="42"/>
        <v>0</v>
      </c>
      <c r="F465" s="78">
        <f t="shared" si="42"/>
        <v>0</v>
      </c>
      <c r="G465" s="78">
        <f t="shared" si="42"/>
        <v>0</v>
      </c>
      <c r="H465" s="78">
        <f t="shared" si="42"/>
        <v>0</v>
      </c>
      <c r="I465" s="78">
        <f t="shared" si="42"/>
        <v>0</v>
      </c>
    </row>
    <row r="466" ht="15.75" customHeight="1"/>
    <row r="467" ht="15.75" customHeight="1">
      <c r="A467" s="65" t="s">
        <v>541</v>
      </c>
      <c r="B467" s="66"/>
      <c r="C467" s="66"/>
      <c r="D467" s="66"/>
      <c r="E467" s="66"/>
      <c r="F467" s="66"/>
      <c r="G467" s="66"/>
      <c r="H467" s="66"/>
      <c r="I467" s="67"/>
    </row>
    <row r="468" ht="15.75" customHeight="1">
      <c r="A468" s="68" t="s">
        <v>192</v>
      </c>
      <c r="B468" s="68" t="s">
        <v>193</v>
      </c>
      <c r="C468" s="68" t="s">
        <v>194</v>
      </c>
      <c r="D468" s="68" t="s">
        <v>195</v>
      </c>
      <c r="E468" s="68" t="s">
        <v>196</v>
      </c>
      <c r="F468" s="68" t="s">
        <v>197</v>
      </c>
      <c r="G468" s="68" t="s">
        <v>198</v>
      </c>
      <c r="H468" s="68" t="s">
        <v>199</v>
      </c>
      <c r="I468" s="68" t="s">
        <v>200</v>
      </c>
    </row>
    <row r="469" ht="15.75" customHeight="1">
      <c r="A469" s="69" t="s">
        <v>201</v>
      </c>
      <c r="B469" s="69" t="s">
        <v>542</v>
      </c>
      <c r="C469" s="71"/>
      <c r="D469" s="72"/>
      <c r="E469" s="72"/>
      <c r="F469" s="72"/>
      <c r="G469" s="72"/>
      <c r="H469" s="72"/>
      <c r="I469" s="72"/>
    </row>
    <row r="470" ht="15.75" customHeight="1">
      <c r="A470" s="69" t="s">
        <v>203</v>
      </c>
      <c r="B470" s="69" t="s">
        <v>543</v>
      </c>
      <c r="C470" s="71"/>
      <c r="D470" s="72"/>
      <c r="E470" s="72"/>
      <c r="F470" s="72"/>
      <c r="G470" s="72"/>
      <c r="H470" s="72"/>
      <c r="I470" s="72"/>
    </row>
    <row r="471" ht="15.75" customHeight="1">
      <c r="A471" s="69" t="s">
        <v>204</v>
      </c>
      <c r="B471" s="69" t="s">
        <v>544</v>
      </c>
      <c r="C471" s="71"/>
      <c r="D471" s="72"/>
      <c r="E471" s="72"/>
      <c r="F471" s="72"/>
      <c r="G471" s="72"/>
      <c r="H471" s="72"/>
      <c r="I471" s="72"/>
    </row>
    <row r="472" ht="15.75" customHeight="1">
      <c r="A472" s="69" t="s">
        <v>205</v>
      </c>
      <c r="B472" s="69" t="s">
        <v>545</v>
      </c>
      <c r="C472" s="71"/>
      <c r="D472" s="72"/>
      <c r="E472" s="72"/>
      <c r="F472" s="72"/>
      <c r="G472" s="72"/>
      <c r="H472" s="72"/>
      <c r="I472" s="72"/>
    </row>
    <row r="473" ht="15.75" customHeight="1">
      <c r="A473" s="69" t="s">
        <v>206</v>
      </c>
      <c r="B473" s="69" t="s">
        <v>546</v>
      </c>
      <c r="C473" s="71"/>
      <c r="D473" s="72"/>
      <c r="E473" s="72"/>
      <c r="F473" s="72"/>
      <c r="G473" s="72"/>
      <c r="H473" s="72"/>
      <c r="I473" s="72"/>
    </row>
    <row r="474" ht="15.75" customHeight="1">
      <c r="A474" s="74" t="s">
        <v>207</v>
      </c>
      <c r="B474" s="74" t="s">
        <v>547</v>
      </c>
      <c r="C474" s="75"/>
      <c r="D474" s="76"/>
      <c r="E474" s="76"/>
      <c r="F474" s="76"/>
      <c r="G474" s="76"/>
      <c r="H474" s="76"/>
      <c r="I474" s="76"/>
    </row>
    <row r="475" ht="15.75" customHeight="1">
      <c r="A475" s="74" t="s">
        <v>209</v>
      </c>
      <c r="B475" s="74" t="s">
        <v>548</v>
      </c>
      <c r="C475" s="75"/>
      <c r="D475" s="76"/>
      <c r="E475" s="76"/>
      <c r="F475" s="76"/>
      <c r="G475" s="76"/>
      <c r="H475" s="76"/>
      <c r="I475" s="76"/>
    </row>
    <row r="476" ht="15.75" customHeight="1">
      <c r="A476" s="77" t="s">
        <v>211</v>
      </c>
      <c r="B476" s="11"/>
      <c r="C476" s="11"/>
      <c r="D476" s="78">
        <f t="shared" ref="D476:I476" si="43">SUM(D469:D475)</f>
        <v>0</v>
      </c>
      <c r="E476" s="78">
        <f t="shared" si="43"/>
        <v>0</v>
      </c>
      <c r="F476" s="78">
        <f t="shared" si="43"/>
        <v>0</v>
      </c>
      <c r="G476" s="78">
        <f t="shared" si="43"/>
        <v>0</v>
      </c>
      <c r="H476" s="78">
        <f t="shared" si="43"/>
        <v>0</v>
      </c>
      <c r="I476" s="78">
        <f t="shared" si="43"/>
        <v>0</v>
      </c>
    </row>
    <row r="477" ht="15.75" customHeight="1"/>
    <row r="478" ht="15.75" customHeight="1">
      <c r="A478" s="65" t="s">
        <v>549</v>
      </c>
      <c r="B478" s="66"/>
      <c r="C478" s="66"/>
      <c r="D478" s="66"/>
      <c r="E478" s="66"/>
      <c r="F478" s="66"/>
      <c r="G478" s="66"/>
      <c r="H478" s="66"/>
      <c r="I478" s="67"/>
    </row>
    <row r="479" ht="15.75" customHeight="1">
      <c r="A479" s="68" t="s">
        <v>192</v>
      </c>
      <c r="B479" s="68" t="s">
        <v>193</v>
      </c>
      <c r="C479" s="68" t="s">
        <v>194</v>
      </c>
      <c r="D479" s="68" t="s">
        <v>195</v>
      </c>
      <c r="E479" s="68" t="s">
        <v>196</v>
      </c>
      <c r="F479" s="68" t="s">
        <v>197</v>
      </c>
      <c r="G479" s="68" t="s">
        <v>198</v>
      </c>
      <c r="H479" s="68" t="s">
        <v>199</v>
      </c>
      <c r="I479" s="68" t="s">
        <v>200</v>
      </c>
    </row>
    <row r="480" ht="15.75" customHeight="1">
      <c r="A480" s="69" t="s">
        <v>201</v>
      </c>
      <c r="B480" s="69" t="s">
        <v>550</v>
      </c>
      <c r="C480" s="71"/>
      <c r="D480" s="72"/>
      <c r="E480" s="72"/>
      <c r="F480" s="72"/>
      <c r="G480" s="72"/>
      <c r="H480" s="72"/>
      <c r="I480" s="72"/>
    </row>
    <row r="481" ht="15.75" customHeight="1">
      <c r="A481" s="69" t="s">
        <v>203</v>
      </c>
      <c r="B481" s="69" t="s">
        <v>551</v>
      </c>
      <c r="C481" s="71"/>
      <c r="D481" s="72"/>
      <c r="E481" s="72"/>
      <c r="F481" s="72"/>
      <c r="G481" s="72"/>
      <c r="H481" s="72"/>
      <c r="I481" s="72"/>
    </row>
    <row r="482" ht="15.75" customHeight="1">
      <c r="A482" s="69" t="s">
        <v>204</v>
      </c>
      <c r="B482" s="69" t="s">
        <v>552</v>
      </c>
      <c r="C482" s="71"/>
      <c r="D482" s="72"/>
      <c r="E482" s="72"/>
      <c r="F482" s="72"/>
      <c r="G482" s="72"/>
      <c r="H482" s="72"/>
      <c r="I482" s="72"/>
    </row>
    <row r="483" ht="15.75" customHeight="1">
      <c r="A483" s="69" t="s">
        <v>205</v>
      </c>
      <c r="B483" s="69" t="s">
        <v>553</v>
      </c>
      <c r="C483" s="71"/>
      <c r="D483" s="72"/>
      <c r="E483" s="72"/>
      <c r="F483" s="72"/>
      <c r="G483" s="72"/>
      <c r="H483" s="72"/>
      <c r="I483" s="72"/>
    </row>
    <row r="484" ht="15.75" customHeight="1">
      <c r="A484" s="69" t="s">
        <v>206</v>
      </c>
      <c r="B484" s="69" t="s">
        <v>554</v>
      </c>
      <c r="C484" s="71"/>
      <c r="D484" s="72"/>
      <c r="E484" s="72"/>
      <c r="F484" s="72"/>
      <c r="G484" s="72"/>
      <c r="H484" s="72"/>
      <c r="I484" s="72"/>
    </row>
    <row r="485" ht="15.75" customHeight="1">
      <c r="A485" s="74" t="s">
        <v>207</v>
      </c>
      <c r="B485" s="74" t="s">
        <v>555</v>
      </c>
      <c r="C485" s="75"/>
      <c r="D485" s="76"/>
      <c r="E485" s="76"/>
      <c r="F485" s="76"/>
      <c r="G485" s="76"/>
      <c r="H485" s="76"/>
      <c r="I485" s="76"/>
    </row>
    <row r="486" ht="15.75" customHeight="1">
      <c r="A486" s="74" t="s">
        <v>209</v>
      </c>
      <c r="B486" s="74" t="s">
        <v>556</v>
      </c>
      <c r="C486" s="75"/>
      <c r="D486" s="76"/>
      <c r="E486" s="76"/>
      <c r="F486" s="76"/>
      <c r="G486" s="76"/>
      <c r="H486" s="76"/>
      <c r="I486" s="76"/>
    </row>
    <row r="487" ht="15.75" customHeight="1">
      <c r="A487" s="77" t="s">
        <v>211</v>
      </c>
      <c r="B487" s="11"/>
      <c r="C487" s="11"/>
      <c r="D487" s="78">
        <f t="shared" ref="D487:I487" si="44">SUM(D480:D486)</f>
        <v>0</v>
      </c>
      <c r="E487" s="78">
        <f t="shared" si="44"/>
        <v>0</v>
      </c>
      <c r="F487" s="78">
        <f t="shared" si="44"/>
        <v>0</v>
      </c>
      <c r="G487" s="78">
        <f t="shared" si="44"/>
        <v>0</v>
      </c>
      <c r="H487" s="78">
        <f t="shared" si="44"/>
        <v>0</v>
      </c>
      <c r="I487" s="78">
        <f t="shared" si="44"/>
        <v>0</v>
      </c>
    </row>
    <row r="488" ht="15.75" customHeight="1"/>
    <row r="489" ht="15.75" customHeight="1">
      <c r="A489" s="65" t="s">
        <v>557</v>
      </c>
      <c r="B489" s="66"/>
      <c r="C489" s="66"/>
      <c r="D489" s="66"/>
      <c r="E489" s="66"/>
      <c r="F489" s="66"/>
      <c r="G489" s="66"/>
      <c r="H489" s="66"/>
      <c r="I489" s="67"/>
    </row>
    <row r="490" ht="15.75" customHeight="1">
      <c r="A490" s="68" t="s">
        <v>192</v>
      </c>
      <c r="B490" s="68" t="s">
        <v>193</v>
      </c>
      <c r="C490" s="68" t="s">
        <v>194</v>
      </c>
      <c r="D490" s="68" t="s">
        <v>195</v>
      </c>
      <c r="E490" s="68" t="s">
        <v>196</v>
      </c>
      <c r="F490" s="68" t="s">
        <v>197</v>
      </c>
      <c r="G490" s="68" t="s">
        <v>198</v>
      </c>
      <c r="H490" s="68" t="s">
        <v>199</v>
      </c>
      <c r="I490" s="68" t="s">
        <v>200</v>
      </c>
    </row>
    <row r="491" ht="15.75" customHeight="1">
      <c r="A491" s="69" t="s">
        <v>201</v>
      </c>
      <c r="B491" s="69" t="s">
        <v>558</v>
      </c>
      <c r="C491" s="71"/>
      <c r="D491" s="72"/>
      <c r="E491" s="72"/>
      <c r="F491" s="72"/>
      <c r="G491" s="72"/>
      <c r="H491" s="72"/>
      <c r="I491" s="72"/>
    </row>
    <row r="492" ht="15.75" customHeight="1">
      <c r="A492" s="69" t="s">
        <v>203</v>
      </c>
      <c r="B492" s="69" t="s">
        <v>559</v>
      </c>
      <c r="C492" s="71"/>
      <c r="D492" s="72"/>
      <c r="E492" s="72"/>
      <c r="F492" s="72"/>
      <c r="G492" s="72"/>
      <c r="H492" s="72"/>
      <c r="I492" s="72"/>
    </row>
    <row r="493" ht="15.75" customHeight="1">
      <c r="A493" s="69" t="s">
        <v>204</v>
      </c>
      <c r="B493" s="69" t="s">
        <v>560</v>
      </c>
      <c r="C493" s="71"/>
      <c r="D493" s="72"/>
      <c r="E493" s="72"/>
      <c r="F493" s="72"/>
      <c r="G493" s="72"/>
      <c r="H493" s="72"/>
      <c r="I493" s="72"/>
    </row>
    <row r="494" ht="15.75" customHeight="1">
      <c r="A494" s="69" t="s">
        <v>205</v>
      </c>
      <c r="B494" s="69" t="s">
        <v>561</v>
      </c>
      <c r="C494" s="71"/>
      <c r="D494" s="72"/>
      <c r="E494" s="72"/>
      <c r="F494" s="72"/>
      <c r="G494" s="72"/>
      <c r="H494" s="72"/>
      <c r="I494" s="72"/>
    </row>
    <row r="495" ht="15.75" customHeight="1">
      <c r="A495" s="69" t="s">
        <v>206</v>
      </c>
      <c r="B495" s="69" t="s">
        <v>562</v>
      </c>
      <c r="C495" s="71"/>
      <c r="D495" s="72"/>
      <c r="E495" s="72"/>
      <c r="F495" s="72"/>
      <c r="G495" s="72"/>
      <c r="H495" s="72"/>
      <c r="I495" s="72"/>
    </row>
    <row r="496" ht="15.75" customHeight="1">
      <c r="A496" s="74" t="s">
        <v>207</v>
      </c>
      <c r="B496" s="74" t="s">
        <v>563</v>
      </c>
      <c r="C496" s="75"/>
      <c r="D496" s="76"/>
      <c r="E496" s="76"/>
      <c r="F496" s="76"/>
      <c r="G496" s="76"/>
      <c r="H496" s="76"/>
      <c r="I496" s="76"/>
    </row>
    <row r="497" ht="15.75" customHeight="1">
      <c r="A497" s="74" t="s">
        <v>209</v>
      </c>
      <c r="B497" s="74" t="s">
        <v>564</v>
      </c>
      <c r="C497" s="75"/>
      <c r="D497" s="76"/>
      <c r="E497" s="76"/>
      <c r="F497" s="76"/>
      <c r="G497" s="76"/>
      <c r="H497" s="76"/>
      <c r="I497" s="76"/>
    </row>
    <row r="498" ht="15.75" customHeight="1">
      <c r="A498" s="77" t="s">
        <v>211</v>
      </c>
      <c r="B498" s="11"/>
      <c r="C498" s="11"/>
      <c r="D498" s="78">
        <f t="shared" ref="D498:I498" si="45">SUM(D491:D497)</f>
        <v>0</v>
      </c>
      <c r="E498" s="78">
        <f t="shared" si="45"/>
        <v>0</v>
      </c>
      <c r="F498" s="78">
        <f t="shared" si="45"/>
        <v>0</v>
      </c>
      <c r="G498" s="78">
        <f t="shared" si="45"/>
        <v>0</v>
      </c>
      <c r="H498" s="78">
        <f t="shared" si="45"/>
        <v>0</v>
      </c>
      <c r="I498" s="78">
        <f t="shared" si="45"/>
        <v>0</v>
      </c>
    </row>
    <row r="499" ht="15.75" customHeight="1"/>
    <row r="500" ht="15.75" customHeight="1">
      <c r="A500" s="65" t="s">
        <v>565</v>
      </c>
      <c r="B500" s="66"/>
      <c r="C500" s="66"/>
      <c r="D500" s="66"/>
      <c r="E500" s="66"/>
      <c r="F500" s="66"/>
      <c r="G500" s="66"/>
      <c r="H500" s="66"/>
      <c r="I500" s="67"/>
    </row>
    <row r="501" ht="15.75" customHeight="1">
      <c r="A501" s="68" t="s">
        <v>192</v>
      </c>
      <c r="B501" s="68" t="s">
        <v>193</v>
      </c>
      <c r="C501" s="68" t="s">
        <v>194</v>
      </c>
      <c r="D501" s="68" t="s">
        <v>195</v>
      </c>
      <c r="E501" s="68" t="s">
        <v>196</v>
      </c>
      <c r="F501" s="68" t="s">
        <v>197</v>
      </c>
      <c r="G501" s="68" t="s">
        <v>198</v>
      </c>
      <c r="H501" s="68" t="s">
        <v>199</v>
      </c>
      <c r="I501" s="68" t="s">
        <v>200</v>
      </c>
    </row>
    <row r="502" ht="15.75" customHeight="1">
      <c r="A502" s="69" t="s">
        <v>201</v>
      </c>
      <c r="B502" s="69" t="s">
        <v>566</v>
      </c>
      <c r="C502" s="71"/>
      <c r="D502" s="72"/>
      <c r="E502" s="72"/>
      <c r="F502" s="72"/>
      <c r="G502" s="72"/>
      <c r="H502" s="72"/>
      <c r="I502" s="72"/>
    </row>
    <row r="503" ht="15.75" customHeight="1">
      <c r="A503" s="69" t="s">
        <v>203</v>
      </c>
      <c r="B503" s="69" t="s">
        <v>567</v>
      </c>
      <c r="C503" s="71"/>
      <c r="D503" s="72"/>
      <c r="E503" s="72"/>
      <c r="F503" s="72"/>
      <c r="G503" s="72"/>
      <c r="H503" s="72"/>
      <c r="I503" s="72"/>
    </row>
    <row r="504" ht="15.75" customHeight="1">
      <c r="A504" s="69" t="s">
        <v>204</v>
      </c>
      <c r="B504" s="69" t="s">
        <v>568</v>
      </c>
      <c r="C504" s="71"/>
      <c r="D504" s="72"/>
      <c r="E504" s="72"/>
      <c r="F504" s="72"/>
      <c r="G504" s="72"/>
      <c r="H504" s="72"/>
      <c r="I504" s="72"/>
    </row>
    <row r="505" ht="15.75" customHeight="1">
      <c r="A505" s="69" t="s">
        <v>205</v>
      </c>
      <c r="B505" s="69" t="s">
        <v>569</v>
      </c>
      <c r="C505" s="71"/>
      <c r="D505" s="72"/>
      <c r="E505" s="72"/>
      <c r="F505" s="72"/>
      <c r="G505" s="72"/>
      <c r="H505" s="72"/>
      <c r="I505" s="72"/>
    </row>
    <row r="506" ht="15.75" customHeight="1">
      <c r="A506" s="69" t="s">
        <v>206</v>
      </c>
      <c r="B506" s="69" t="s">
        <v>570</v>
      </c>
      <c r="C506" s="71"/>
      <c r="D506" s="72"/>
      <c r="E506" s="72"/>
      <c r="F506" s="72"/>
      <c r="G506" s="72"/>
      <c r="H506" s="72"/>
      <c r="I506" s="72"/>
    </row>
    <row r="507" ht="15.75" customHeight="1">
      <c r="A507" s="74" t="s">
        <v>207</v>
      </c>
      <c r="B507" s="74" t="s">
        <v>571</v>
      </c>
      <c r="C507" s="75"/>
      <c r="D507" s="76"/>
      <c r="E507" s="76"/>
      <c r="F507" s="76"/>
      <c r="G507" s="76"/>
      <c r="H507" s="76"/>
      <c r="I507" s="76"/>
    </row>
    <row r="508" ht="15.75" customHeight="1">
      <c r="A508" s="74" t="s">
        <v>209</v>
      </c>
      <c r="B508" s="74" t="s">
        <v>572</v>
      </c>
      <c r="C508" s="75"/>
      <c r="D508" s="76"/>
      <c r="E508" s="76"/>
      <c r="F508" s="76"/>
      <c r="G508" s="76"/>
      <c r="H508" s="76"/>
      <c r="I508" s="76"/>
    </row>
    <row r="509" ht="15.75" customHeight="1">
      <c r="A509" s="77" t="s">
        <v>211</v>
      </c>
      <c r="B509" s="11"/>
      <c r="C509" s="11"/>
      <c r="D509" s="78">
        <f t="shared" ref="D509:I509" si="46">SUM(D502:D508)</f>
        <v>0</v>
      </c>
      <c r="E509" s="78">
        <f t="shared" si="46"/>
        <v>0</v>
      </c>
      <c r="F509" s="78">
        <f t="shared" si="46"/>
        <v>0</v>
      </c>
      <c r="G509" s="78">
        <f t="shared" si="46"/>
        <v>0</v>
      </c>
      <c r="H509" s="78">
        <f t="shared" si="46"/>
        <v>0</v>
      </c>
      <c r="I509" s="78">
        <f t="shared" si="46"/>
        <v>0</v>
      </c>
    </row>
    <row r="510" ht="15.75" customHeight="1"/>
    <row r="511" ht="15.75" customHeight="1">
      <c r="A511" s="65" t="s">
        <v>573</v>
      </c>
      <c r="B511" s="66"/>
      <c r="C511" s="66"/>
      <c r="D511" s="66"/>
      <c r="E511" s="66"/>
      <c r="F511" s="66"/>
      <c r="G511" s="66"/>
      <c r="H511" s="66"/>
      <c r="I511" s="67"/>
    </row>
    <row r="512" ht="15.75" customHeight="1">
      <c r="A512" s="68" t="s">
        <v>192</v>
      </c>
      <c r="B512" s="68" t="s">
        <v>193</v>
      </c>
      <c r="C512" s="68" t="s">
        <v>194</v>
      </c>
      <c r="D512" s="68" t="s">
        <v>195</v>
      </c>
      <c r="E512" s="68" t="s">
        <v>196</v>
      </c>
      <c r="F512" s="68" t="s">
        <v>197</v>
      </c>
      <c r="G512" s="68" t="s">
        <v>198</v>
      </c>
      <c r="H512" s="68" t="s">
        <v>199</v>
      </c>
      <c r="I512" s="68" t="s">
        <v>200</v>
      </c>
    </row>
    <row r="513" ht="15.75" customHeight="1">
      <c r="A513" s="69" t="s">
        <v>201</v>
      </c>
      <c r="B513" s="69" t="s">
        <v>574</v>
      </c>
      <c r="C513" s="71"/>
      <c r="D513" s="72"/>
      <c r="E513" s="72"/>
      <c r="F513" s="72"/>
      <c r="G513" s="72"/>
      <c r="H513" s="72"/>
      <c r="I513" s="72"/>
    </row>
    <row r="514" ht="15.75" customHeight="1">
      <c r="A514" s="69" t="s">
        <v>203</v>
      </c>
      <c r="B514" s="69" t="s">
        <v>575</v>
      </c>
      <c r="C514" s="71"/>
      <c r="D514" s="72"/>
      <c r="E514" s="72"/>
      <c r="F514" s="72"/>
      <c r="G514" s="72"/>
      <c r="H514" s="72"/>
      <c r="I514" s="72"/>
    </row>
    <row r="515" ht="15.75" customHeight="1">
      <c r="A515" s="69" t="s">
        <v>204</v>
      </c>
      <c r="B515" s="69" t="s">
        <v>576</v>
      </c>
      <c r="C515" s="71"/>
      <c r="D515" s="72"/>
      <c r="E515" s="72"/>
      <c r="F515" s="72"/>
      <c r="G515" s="72"/>
      <c r="H515" s="72"/>
      <c r="I515" s="72"/>
    </row>
    <row r="516" ht="15.75" customHeight="1">
      <c r="A516" s="69" t="s">
        <v>205</v>
      </c>
      <c r="B516" s="69" t="s">
        <v>577</v>
      </c>
      <c r="C516" s="71"/>
      <c r="D516" s="72"/>
      <c r="E516" s="72"/>
      <c r="F516" s="72"/>
      <c r="G516" s="72"/>
      <c r="H516" s="72"/>
      <c r="I516" s="72"/>
    </row>
    <row r="517" ht="15.75" customHeight="1">
      <c r="A517" s="69" t="s">
        <v>206</v>
      </c>
      <c r="B517" s="69" t="s">
        <v>578</v>
      </c>
      <c r="C517" s="71"/>
      <c r="D517" s="72"/>
      <c r="E517" s="72"/>
      <c r="F517" s="72"/>
      <c r="G517" s="72"/>
      <c r="H517" s="72"/>
      <c r="I517" s="72"/>
    </row>
    <row r="518" ht="15.75" customHeight="1">
      <c r="A518" s="74" t="s">
        <v>207</v>
      </c>
      <c r="B518" s="74" t="s">
        <v>579</v>
      </c>
      <c r="C518" s="75"/>
      <c r="D518" s="76"/>
      <c r="E518" s="76"/>
      <c r="F518" s="76"/>
      <c r="G518" s="76"/>
      <c r="H518" s="76"/>
      <c r="I518" s="76"/>
    </row>
    <row r="519" ht="15.75" customHeight="1">
      <c r="A519" s="74" t="s">
        <v>209</v>
      </c>
      <c r="B519" s="74" t="s">
        <v>580</v>
      </c>
      <c r="C519" s="75"/>
      <c r="D519" s="76"/>
      <c r="E519" s="76"/>
      <c r="F519" s="76"/>
      <c r="G519" s="76"/>
      <c r="H519" s="76"/>
      <c r="I519" s="76"/>
    </row>
    <row r="520" ht="15.75" customHeight="1">
      <c r="A520" s="77" t="s">
        <v>211</v>
      </c>
      <c r="B520" s="11"/>
      <c r="C520" s="11"/>
      <c r="D520" s="78">
        <f t="shared" ref="D520:I520" si="47">SUM(D513:D519)</f>
        <v>0</v>
      </c>
      <c r="E520" s="78">
        <f t="shared" si="47"/>
        <v>0</v>
      </c>
      <c r="F520" s="78">
        <f t="shared" si="47"/>
        <v>0</v>
      </c>
      <c r="G520" s="78">
        <f t="shared" si="47"/>
        <v>0</v>
      </c>
      <c r="H520" s="78">
        <f t="shared" si="47"/>
        <v>0</v>
      </c>
      <c r="I520" s="78">
        <f t="shared" si="47"/>
        <v>0</v>
      </c>
    </row>
    <row r="521" ht="15.75" customHeight="1"/>
    <row r="522" ht="15.75" customHeight="1">
      <c r="A522" s="65" t="s">
        <v>581</v>
      </c>
      <c r="B522" s="66"/>
      <c r="C522" s="66"/>
      <c r="D522" s="66"/>
      <c r="E522" s="66"/>
      <c r="F522" s="66"/>
      <c r="G522" s="66"/>
      <c r="H522" s="66"/>
      <c r="I522" s="67"/>
    </row>
    <row r="523" ht="15.75" customHeight="1">
      <c r="A523" s="68" t="s">
        <v>192</v>
      </c>
      <c r="B523" s="68" t="s">
        <v>193</v>
      </c>
      <c r="C523" s="68" t="s">
        <v>194</v>
      </c>
      <c r="D523" s="68" t="s">
        <v>195</v>
      </c>
      <c r="E523" s="68" t="s">
        <v>196</v>
      </c>
      <c r="F523" s="68" t="s">
        <v>197</v>
      </c>
      <c r="G523" s="68" t="s">
        <v>198</v>
      </c>
      <c r="H523" s="68" t="s">
        <v>199</v>
      </c>
      <c r="I523" s="68" t="s">
        <v>200</v>
      </c>
    </row>
    <row r="524" ht="15.75" customHeight="1">
      <c r="A524" s="69" t="s">
        <v>201</v>
      </c>
      <c r="B524" s="69" t="s">
        <v>582</v>
      </c>
      <c r="C524" s="71"/>
      <c r="D524" s="72"/>
      <c r="E524" s="72"/>
      <c r="F524" s="72"/>
      <c r="G524" s="72"/>
      <c r="H524" s="72"/>
      <c r="I524" s="72"/>
    </row>
    <row r="525" ht="15.75" customHeight="1">
      <c r="A525" s="69" t="s">
        <v>203</v>
      </c>
      <c r="B525" s="69" t="s">
        <v>583</v>
      </c>
      <c r="C525" s="71"/>
      <c r="D525" s="72"/>
      <c r="E525" s="72"/>
      <c r="F525" s="72"/>
      <c r="G525" s="72"/>
      <c r="H525" s="72"/>
      <c r="I525" s="72"/>
    </row>
    <row r="526" ht="15.75" customHeight="1">
      <c r="A526" s="69" t="s">
        <v>204</v>
      </c>
      <c r="B526" s="69" t="s">
        <v>584</v>
      </c>
      <c r="C526" s="71"/>
      <c r="D526" s="72"/>
      <c r="E526" s="72"/>
      <c r="F526" s="72"/>
      <c r="G526" s="72"/>
      <c r="H526" s="72"/>
      <c r="I526" s="72"/>
    </row>
    <row r="527" ht="15.75" customHeight="1">
      <c r="A527" s="69" t="s">
        <v>205</v>
      </c>
      <c r="B527" s="69" t="s">
        <v>585</v>
      </c>
      <c r="C527" s="71"/>
      <c r="D527" s="72"/>
      <c r="E527" s="72"/>
      <c r="F527" s="72"/>
      <c r="G527" s="72"/>
      <c r="H527" s="72"/>
      <c r="I527" s="72"/>
    </row>
    <row r="528" ht="15.75" customHeight="1">
      <c r="A528" s="69" t="s">
        <v>206</v>
      </c>
      <c r="B528" s="69" t="s">
        <v>586</v>
      </c>
      <c r="C528" s="71"/>
      <c r="D528" s="72"/>
      <c r="E528" s="72"/>
      <c r="F528" s="72"/>
      <c r="G528" s="72"/>
      <c r="H528" s="72"/>
      <c r="I528" s="72"/>
    </row>
    <row r="529" ht="15.75" customHeight="1">
      <c r="A529" s="74" t="s">
        <v>207</v>
      </c>
      <c r="B529" s="74" t="s">
        <v>587</v>
      </c>
      <c r="C529" s="75"/>
      <c r="D529" s="76"/>
      <c r="E529" s="76"/>
      <c r="F529" s="76"/>
      <c r="G529" s="76"/>
      <c r="H529" s="76"/>
      <c r="I529" s="76"/>
    </row>
    <row r="530" ht="15.75" customHeight="1">
      <c r="A530" s="74" t="s">
        <v>209</v>
      </c>
      <c r="B530" s="74" t="s">
        <v>588</v>
      </c>
      <c r="C530" s="75"/>
      <c r="D530" s="76"/>
      <c r="E530" s="76"/>
      <c r="F530" s="76"/>
      <c r="G530" s="76"/>
      <c r="H530" s="76"/>
      <c r="I530" s="76"/>
    </row>
    <row r="531" ht="15.75" customHeight="1">
      <c r="A531" s="77" t="s">
        <v>211</v>
      </c>
      <c r="B531" s="11"/>
      <c r="C531" s="11"/>
      <c r="D531" s="78">
        <f t="shared" ref="D531:I531" si="48">SUM(D524:D530)</f>
        <v>0</v>
      </c>
      <c r="E531" s="78">
        <f t="shared" si="48"/>
        <v>0</v>
      </c>
      <c r="F531" s="78">
        <f t="shared" si="48"/>
        <v>0</v>
      </c>
      <c r="G531" s="78">
        <f t="shared" si="48"/>
        <v>0</v>
      </c>
      <c r="H531" s="78">
        <f t="shared" si="48"/>
        <v>0</v>
      </c>
      <c r="I531" s="78">
        <f t="shared" si="48"/>
        <v>0</v>
      </c>
    </row>
    <row r="532" ht="15.75" customHeight="1"/>
    <row r="533" ht="15.75" customHeight="1">
      <c r="A533" s="65" t="s">
        <v>589</v>
      </c>
      <c r="B533" s="66"/>
      <c r="C533" s="66"/>
      <c r="D533" s="66"/>
      <c r="E533" s="66"/>
      <c r="F533" s="66"/>
      <c r="G533" s="66"/>
      <c r="H533" s="66"/>
      <c r="I533" s="67"/>
    </row>
    <row r="534" ht="15.75" customHeight="1">
      <c r="A534" s="68" t="s">
        <v>192</v>
      </c>
      <c r="B534" s="68" t="s">
        <v>193</v>
      </c>
      <c r="C534" s="68" t="s">
        <v>194</v>
      </c>
      <c r="D534" s="68" t="s">
        <v>195</v>
      </c>
      <c r="E534" s="68" t="s">
        <v>196</v>
      </c>
      <c r="F534" s="68" t="s">
        <v>197</v>
      </c>
      <c r="G534" s="68" t="s">
        <v>198</v>
      </c>
      <c r="H534" s="68" t="s">
        <v>199</v>
      </c>
      <c r="I534" s="68" t="s">
        <v>200</v>
      </c>
    </row>
    <row r="535" ht="15.75" customHeight="1">
      <c r="A535" s="69" t="s">
        <v>201</v>
      </c>
      <c r="B535" s="69" t="s">
        <v>590</v>
      </c>
      <c r="C535" s="71"/>
      <c r="D535" s="72"/>
      <c r="E535" s="72"/>
      <c r="F535" s="72"/>
      <c r="G535" s="72"/>
      <c r="H535" s="72"/>
      <c r="I535" s="72"/>
    </row>
    <row r="536" ht="15.75" customHeight="1">
      <c r="A536" s="69" t="s">
        <v>203</v>
      </c>
      <c r="B536" s="69" t="s">
        <v>591</v>
      </c>
      <c r="C536" s="71"/>
      <c r="D536" s="72"/>
      <c r="E536" s="72"/>
      <c r="F536" s="72"/>
      <c r="G536" s="72"/>
      <c r="H536" s="72"/>
      <c r="I536" s="72"/>
    </row>
    <row r="537" ht="15.75" customHeight="1">
      <c r="A537" s="69" t="s">
        <v>204</v>
      </c>
      <c r="B537" s="69" t="s">
        <v>592</v>
      </c>
      <c r="C537" s="71"/>
      <c r="D537" s="72"/>
      <c r="E537" s="72"/>
      <c r="F537" s="72"/>
      <c r="G537" s="72"/>
      <c r="H537" s="72"/>
      <c r="I537" s="72"/>
    </row>
    <row r="538" ht="15.75" customHeight="1">
      <c r="A538" s="69" t="s">
        <v>205</v>
      </c>
      <c r="B538" s="69" t="s">
        <v>593</v>
      </c>
      <c r="C538" s="71"/>
      <c r="D538" s="72"/>
      <c r="E538" s="72"/>
      <c r="F538" s="72"/>
      <c r="G538" s="72"/>
      <c r="H538" s="72"/>
      <c r="I538" s="72"/>
    </row>
    <row r="539" ht="15.75" customHeight="1">
      <c r="A539" s="69" t="s">
        <v>206</v>
      </c>
      <c r="B539" s="69" t="s">
        <v>594</v>
      </c>
      <c r="C539" s="71"/>
      <c r="D539" s="72"/>
      <c r="E539" s="72"/>
      <c r="F539" s="72"/>
      <c r="G539" s="72"/>
      <c r="H539" s="72"/>
      <c r="I539" s="72"/>
    </row>
    <row r="540" ht="15.75" customHeight="1">
      <c r="A540" s="74" t="s">
        <v>207</v>
      </c>
      <c r="B540" s="74" t="s">
        <v>595</v>
      </c>
      <c r="C540" s="75"/>
      <c r="D540" s="76"/>
      <c r="E540" s="76"/>
      <c r="F540" s="76"/>
      <c r="G540" s="76"/>
      <c r="H540" s="76"/>
      <c r="I540" s="76"/>
    </row>
    <row r="541" ht="15.75" customHeight="1">
      <c r="A541" s="74" t="s">
        <v>209</v>
      </c>
      <c r="B541" s="74" t="s">
        <v>596</v>
      </c>
      <c r="C541" s="75"/>
      <c r="D541" s="76"/>
      <c r="E541" s="76"/>
      <c r="F541" s="76"/>
      <c r="G541" s="76"/>
      <c r="H541" s="76"/>
      <c r="I541" s="76"/>
    </row>
    <row r="542" ht="15.75" customHeight="1">
      <c r="A542" s="77" t="s">
        <v>211</v>
      </c>
      <c r="B542" s="11"/>
      <c r="C542" s="11"/>
      <c r="D542" s="78">
        <f t="shared" ref="D542:I542" si="49">SUM(D535:D541)</f>
        <v>0</v>
      </c>
      <c r="E542" s="78">
        <f t="shared" si="49"/>
        <v>0</v>
      </c>
      <c r="F542" s="78">
        <f t="shared" si="49"/>
        <v>0</v>
      </c>
      <c r="G542" s="78">
        <f t="shared" si="49"/>
        <v>0</v>
      </c>
      <c r="H542" s="78">
        <f t="shared" si="49"/>
        <v>0</v>
      </c>
      <c r="I542" s="78">
        <f t="shared" si="49"/>
        <v>0</v>
      </c>
    </row>
    <row r="543" ht="15.75" customHeight="1"/>
    <row r="544" ht="15.75" customHeight="1">
      <c r="A544" s="65" t="s">
        <v>597</v>
      </c>
      <c r="B544" s="66"/>
      <c r="C544" s="66"/>
      <c r="D544" s="66"/>
      <c r="E544" s="66"/>
      <c r="F544" s="66"/>
      <c r="G544" s="66"/>
      <c r="H544" s="66"/>
      <c r="I544" s="67"/>
    </row>
    <row r="545" ht="15.75" customHeight="1">
      <c r="A545" s="68" t="s">
        <v>192</v>
      </c>
      <c r="B545" s="68" t="s">
        <v>193</v>
      </c>
      <c r="C545" s="68" t="s">
        <v>194</v>
      </c>
      <c r="D545" s="68" t="s">
        <v>195</v>
      </c>
      <c r="E545" s="68" t="s">
        <v>196</v>
      </c>
      <c r="F545" s="68" t="s">
        <v>197</v>
      </c>
      <c r="G545" s="68" t="s">
        <v>198</v>
      </c>
      <c r="H545" s="68" t="s">
        <v>199</v>
      </c>
      <c r="I545" s="68" t="s">
        <v>200</v>
      </c>
    </row>
    <row r="546" ht="15.75" customHeight="1">
      <c r="A546" s="69" t="s">
        <v>201</v>
      </c>
      <c r="B546" s="69" t="s">
        <v>598</v>
      </c>
      <c r="C546" s="71"/>
      <c r="D546" s="72"/>
      <c r="E546" s="72"/>
      <c r="F546" s="72"/>
      <c r="G546" s="72"/>
      <c r="H546" s="72"/>
      <c r="I546" s="72"/>
    </row>
    <row r="547" ht="15.75" customHeight="1">
      <c r="A547" s="69" t="s">
        <v>203</v>
      </c>
      <c r="B547" s="69" t="s">
        <v>599</v>
      </c>
      <c r="C547" s="71"/>
      <c r="D547" s="72"/>
      <c r="E547" s="72"/>
      <c r="F547" s="72"/>
      <c r="G547" s="72"/>
      <c r="H547" s="72"/>
      <c r="I547" s="72"/>
    </row>
    <row r="548" ht="15.75" customHeight="1">
      <c r="A548" s="69" t="s">
        <v>204</v>
      </c>
      <c r="B548" s="69" t="s">
        <v>600</v>
      </c>
      <c r="C548" s="71"/>
      <c r="D548" s="72"/>
      <c r="E548" s="72"/>
      <c r="F548" s="72"/>
      <c r="G548" s="72"/>
      <c r="H548" s="72"/>
      <c r="I548" s="72"/>
    </row>
    <row r="549" ht="15.75" customHeight="1">
      <c r="A549" s="69" t="s">
        <v>205</v>
      </c>
      <c r="B549" s="69" t="s">
        <v>601</v>
      </c>
      <c r="C549" s="71"/>
      <c r="D549" s="72"/>
      <c r="E549" s="72"/>
      <c r="F549" s="72"/>
      <c r="G549" s="72"/>
      <c r="H549" s="72"/>
      <c r="I549" s="72"/>
    </row>
    <row r="550" ht="15.75" customHeight="1">
      <c r="A550" s="69" t="s">
        <v>206</v>
      </c>
      <c r="B550" s="69" t="s">
        <v>602</v>
      </c>
      <c r="C550" s="71"/>
      <c r="D550" s="72"/>
      <c r="E550" s="72"/>
      <c r="F550" s="72"/>
      <c r="G550" s="72"/>
      <c r="H550" s="72"/>
      <c r="I550" s="72"/>
    </row>
    <row r="551" ht="15.75" customHeight="1">
      <c r="A551" s="74" t="s">
        <v>207</v>
      </c>
      <c r="B551" s="74" t="s">
        <v>603</v>
      </c>
      <c r="C551" s="75"/>
      <c r="D551" s="76"/>
      <c r="E551" s="76"/>
      <c r="F551" s="76"/>
      <c r="G551" s="76"/>
      <c r="H551" s="76"/>
      <c r="I551" s="76"/>
    </row>
    <row r="552" ht="15.75" customHeight="1">
      <c r="A552" s="74" t="s">
        <v>209</v>
      </c>
      <c r="B552" s="74" t="s">
        <v>604</v>
      </c>
      <c r="C552" s="75"/>
      <c r="D552" s="76"/>
      <c r="E552" s="76"/>
      <c r="F552" s="76"/>
      <c r="G552" s="76"/>
      <c r="H552" s="76"/>
      <c r="I552" s="76"/>
    </row>
    <row r="553" ht="15.75" customHeight="1">
      <c r="A553" s="77" t="s">
        <v>211</v>
      </c>
      <c r="B553" s="11"/>
      <c r="C553" s="11"/>
      <c r="D553" s="78">
        <f t="shared" ref="D553:I553" si="50">SUM(D546:D552)</f>
        <v>0</v>
      </c>
      <c r="E553" s="78">
        <f t="shared" si="50"/>
        <v>0</v>
      </c>
      <c r="F553" s="78">
        <f t="shared" si="50"/>
        <v>0</v>
      </c>
      <c r="G553" s="78">
        <f t="shared" si="50"/>
        <v>0</v>
      </c>
      <c r="H553" s="78">
        <f t="shared" si="50"/>
        <v>0</v>
      </c>
      <c r="I553" s="78">
        <f t="shared" si="50"/>
        <v>0</v>
      </c>
    </row>
    <row r="554" ht="15.75" customHeight="1"/>
    <row r="555" ht="15.75" customHeight="1">
      <c r="A555" s="65" t="s">
        <v>605</v>
      </c>
      <c r="B555" s="66"/>
      <c r="C555" s="66"/>
      <c r="D555" s="66"/>
      <c r="E555" s="66"/>
      <c r="F555" s="66"/>
      <c r="G555" s="66"/>
      <c r="H555" s="66"/>
      <c r="I555" s="67"/>
    </row>
    <row r="556" ht="15.75" customHeight="1">
      <c r="A556" s="68" t="s">
        <v>192</v>
      </c>
      <c r="B556" s="68" t="s">
        <v>193</v>
      </c>
      <c r="C556" s="68" t="s">
        <v>194</v>
      </c>
      <c r="D556" s="68" t="s">
        <v>195</v>
      </c>
      <c r="E556" s="68" t="s">
        <v>196</v>
      </c>
      <c r="F556" s="68" t="s">
        <v>197</v>
      </c>
      <c r="G556" s="68" t="s">
        <v>198</v>
      </c>
      <c r="H556" s="68" t="s">
        <v>199</v>
      </c>
      <c r="I556" s="68" t="s">
        <v>200</v>
      </c>
    </row>
    <row r="557" ht="15.75" customHeight="1">
      <c r="A557" s="69" t="s">
        <v>201</v>
      </c>
      <c r="B557" s="69" t="s">
        <v>606</v>
      </c>
      <c r="C557" s="71"/>
      <c r="D557" s="72"/>
      <c r="E557" s="72"/>
      <c r="F557" s="72"/>
      <c r="G557" s="72"/>
      <c r="H557" s="72"/>
      <c r="I557" s="72"/>
    </row>
    <row r="558" ht="15.75" customHeight="1">
      <c r="A558" s="69" t="s">
        <v>203</v>
      </c>
      <c r="B558" s="69" t="s">
        <v>607</v>
      </c>
      <c r="C558" s="71"/>
      <c r="D558" s="72"/>
      <c r="E558" s="72"/>
      <c r="F558" s="72"/>
      <c r="G558" s="72"/>
      <c r="H558" s="72"/>
      <c r="I558" s="72"/>
    </row>
    <row r="559" ht="15.75" customHeight="1">
      <c r="A559" s="69" t="s">
        <v>204</v>
      </c>
      <c r="B559" s="69" t="s">
        <v>608</v>
      </c>
      <c r="C559" s="71"/>
      <c r="D559" s="72"/>
      <c r="E559" s="72"/>
      <c r="F559" s="72"/>
      <c r="G559" s="72"/>
      <c r="H559" s="72"/>
      <c r="I559" s="72"/>
    </row>
    <row r="560" ht="15.75" customHeight="1">
      <c r="A560" s="69" t="s">
        <v>205</v>
      </c>
      <c r="B560" s="69" t="s">
        <v>609</v>
      </c>
      <c r="C560" s="71"/>
      <c r="D560" s="72"/>
      <c r="E560" s="72"/>
      <c r="F560" s="72"/>
      <c r="G560" s="72"/>
      <c r="H560" s="72"/>
      <c r="I560" s="72"/>
    </row>
    <row r="561" ht="15.75" customHeight="1">
      <c r="A561" s="69" t="s">
        <v>206</v>
      </c>
      <c r="B561" s="69" t="s">
        <v>610</v>
      </c>
      <c r="C561" s="71"/>
      <c r="D561" s="72"/>
      <c r="E561" s="72"/>
      <c r="F561" s="72"/>
      <c r="G561" s="72"/>
      <c r="H561" s="72"/>
      <c r="I561" s="72"/>
    </row>
    <row r="562" ht="15.75" customHeight="1">
      <c r="A562" s="74" t="s">
        <v>207</v>
      </c>
      <c r="B562" s="74" t="s">
        <v>611</v>
      </c>
      <c r="C562" s="75"/>
      <c r="D562" s="76"/>
      <c r="E562" s="76"/>
      <c r="F562" s="76"/>
      <c r="G562" s="76"/>
      <c r="H562" s="76"/>
      <c r="I562" s="76"/>
    </row>
    <row r="563" ht="15.75" customHeight="1">
      <c r="A563" s="74" t="s">
        <v>209</v>
      </c>
      <c r="B563" s="74" t="s">
        <v>612</v>
      </c>
      <c r="C563" s="75"/>
      <c r="D563" s="76"/>
      <c r="E563" s="76"/>
      <c r="F563" s="76"/>
      <c r="G563" s="76"/>
      <c r="H563" s="76"/>
      <c r="I563" s="76"/>
    </row>
    <row r="564" ht="15.75" customHeight="1">
      <c r="A564" s="77" t="s">
        <v>211</v>
      </c>
      <c r="B564" s="11"/>
      <c r="C564" s="11"/>
      <c r="D564" s="78">
        <f t="shared" ref="D564:I564" si="51">SUM(D557:D563)</f>
        <v>0</v>
      </c>
      <c r="E564" s="78">
        <f t="shared" si="51"/>
        <v>0</v>
      </c>
      <c r="F564" s="78">
        <f t="shared" si="51"/>
        <v>0</v>
      </c>
      <c r="G564" s="78">
        <f t="shared" si="51"/>
        <v>0</v>
      </c>
      <c r="H564" s="78">
        <f t="shared" si="51"/>
        <v>0</v>
      </c>
      <c r="I564" s="78">
        <f t="shared" si="51"/>
        <v>0</v>
      </c>
    </row>
    <row r="565" ht="15.75" customHeight="1"/>
    <row r="566" ht="15.75" customHeight="1">
      <c r="A566" s="65" t="s">
        <v>613</v>
      </c>
      <c r="B566" s="66"/>
      <c r="C566" s="66"/>
      <c r="D566" s="66"/>
      <c r="E566" s="66"/>
      <c r="F566" s="66"/>
      <c r="G566" s="66"/>
      <c r="H566" s="66"/>
      <c r="I566" s="67"/>
    </row>
    <row r="567" ht="15.75" customHeight="1">
      <c r="A567" s="68" t="s">
        <v>192</v>
      </c>
      <c r="B567" s="68" t="s">
        <v>193</v>
      </c>
      <c r="C567" s="68" t="s">
        <v>194</v>
      </c>
      <c r="D567" s="68" t="s">
        <v>195</v>
      </c>
      <c r="E567" s="68" t="s">
        <v>196</v>
      </c>
      <c r="F567" s="68" t="s">
        <v>197</v>
      </c>
      <c r="G567" s="68" t="s">
        <v>198</v>
      </c>
      <c r="H567" s="68" t="s">
        <v>199</v>
      </c>
      <c r="I567" s="68" t="s">
        <v>200</v>
      </c>
    </row>
    <row r="568" ht="15.75" customHeight="1">
      <c r="A568" s="69" t="s">
        <v>201</v>
      </c>
      <c r="B568" s="69" t="s">
        <v>614</v>
      </c>
      <c r="C568" s="71"/>
      <c r="D568" s="72"/>
      <c r="E568" s="72"/>
      <c r="F568" s="72"/>
      <c r="G568" s="72"/>
      <c r="H568" s="72"/>
      <c r="I568" s="72"/>
    </row>
    <row r="569" ht="15.75" customHeight="1">
      <c r="A569" s="69" t="s">
        <v>203</v>
      </c>
      <c r="B569" s="69" t="s">
        <v>615</v>
      </c>
      <c r="C569" s="71"/>
      <c r="D569" s="72"/>
      <c r="E569" s="72"/>
      <c r="F569" s="72"/>
      <c r="G569" s="72"/>
      <c r="H569" s="72"/>
      <c r="I569" s="72"/>
    </row>
    <row r="570" ht="15.75" customHeight="1">
      <c r="A570" s="69" t="s">
        <v>204</v>
      </c>
      <c r="B570" s="69" t="s">
        <v>616</v>
      </c>
      <c r="C570" s="71"/>
      <c r="D570" s="72"/>
      <c r="E570" s="72"/>
      <c r="F570" s="72"/>
      <c r="G570" s="72"/>
      <c r="H570" s="72"/>
      <c r="I570" s="72"/>
    </row>
    <row r="571" ht="15.75" customHeight="1">
      <c r="A571" s="69" t="s">
        <v>205</v>
      </c>
      <c r="B571" s="69" t="s">
        <v>617</v>
      </c>
      <c r="C571" s="71"/>
      <c r="D571" s="72"/>
      <c r="E571" s="72"/>
      <c r="F571" s="72"/>
      <c r="G571" s="72"/>
      <c r="H571" s="72"/>
      <c r="I571" s="72"/>
    </row>
    <row r="572" ht="15.75" customHeight="1">
      <c r="A572" s="69" t="s">
        <v>206</v>
      </c>
      <c r="B572" s="69" t="s">
        <v>618</v>
      </c>
      <c r="C572" s="71"/>
      <c r="D572" s="72"/>
      <c r="E572" s="72"/>
      <c r="F572" s="72"/>
      <c r="G572" s="72"/>
      <c r="H572" s="72"/>
      <c r="I572" s="72"/>
    </row>
    <row r="573" ht="15.75" customHeight="1">
      <c r="A573" s="74" t="s">
        <v>207</v>
      </c>
      <c r="B573" s="74" t="s">
        <v>619</v>
      </c>
      <c r="C573" s="75"/>
      <c r="D573" s="76"/>
      <c r="E573" s="76"/>
      <c r="F573" s="76"/>
      <c r="G573" s="76"/>
      <c r="H573" s="76"/>
      <c r="I573" s="76"/>
    </row>
    <row r="574" ht="15.75" customHeight="1">
      <c r="A574" s="74" t="s">
        <v>209</v>
      </c>
      <c r="B574" s="74" t="s">
        <v>620</v>
      </c>
      <c r="C574" s="75"/>
      <c r="D574" s="76"/>
      <c r="E574" s="76"/>
      <c r="F574" s="76"/>
      <c r="G574" s="76"/>
      <c r="H574" s="76"/>
      <c r="I574" s="76"/>
    </row>
    <row r="575" ht="15.75" customHeight="1">
      <c r="A575" s="77" t="s">
        <v>211</v>
      </c>
      <c r="B575" s="11"/>
      <c r="C575" s="11"/>
      <c r="D575" s="78">
        <f t="shared" ref="D575:I575" si="52">SUM(D568:D574)</f>
        <v>0</v>
      </c>
      <c r="E575" s="78">
        <f t="shared" si="52"/>
        <v>0</v>
      </c>
      <c r="F575" s="78">
        <f t="shared" si="52"/>
        <v>0</v>
      </c>
      <c r="G575" s="78">
        <f t="shared" si="52"/>
        <v>0</v>
      </c>
      <c r="H575" s="78">
        <f t="shared" si="52"/>
        <v>0</v>
      </c>
      <c r="I575" s="78">
        <f t="shared" si="52"/>
        <v>0</v>
      </c>
    </row>
    <row r="576" ht="15.75" customHeight="1"/>
    <row r="577" ht="15.75" customHeight="1">
      <c r="A577" s="65" t="s">
        <v>621</v>
      </c>
      <c r="B577" s="66"/>
      <c r="C577" s="66"/>
      <c r="D577" s="66"/>
      <c r="E577" s="66"/>
      <c r="F577" s="66"/>
      <c r="G577" s="66"/>
      <c r="H577" s="66"/>
      <c r="I577" s="67"/>
    </row>
    <row r="578" ht="15.75" customHeight="1">
      <c r="A578" s="68" t="s">
        <v>192</v>
      </c>
      <c r="B578" s="68" t="s">
        <v>193</v>
      </c>
      <c r="C578" s="68" t="s">
        <v>194</v>
      </c>
      <c r="D578" s="68" t="s">
        <v>195</v>
      </c>
      <c r="E578" s="68" t="s">
        <v>196</v>
      </c>
      <c r="F578" s="68" t="s">
        <v>197</v>
      </c>
      <c r="G578" s="68" t="s">
        <v>198</v>
      </c>
      <c r="H578" s="68" t="s">
        <v>199</v>
      </c>
      <c r="I578" s="68" t="s">
        <v>200</v>
      </c>
    </row>
    <row r="579" ht="15.75" customHeight="1">
      <c r="A579" s="69" t="s">
        <v>201</v>
      </c>
      <c r="B579" s="69" t="s">
        <v>622</v>
      </c>
      <c r="C579" s="71"/>
      <c r="D579" s="72"/>
      <c r="E579" s="72"/>
      <c r="F579" s="72"/>
      <c r="G579" s="72"/>
      <c r="H579" s="72"/>
      <c r="I579" s="72"/>
    </row>
    <row r="580" ht="15.75" customHeight="1">
      <c r="A580" s="69" t="s">
        <v>203</v>
      </c>
      <c r="B580" s="69" t="s">
        <v>623</v>
      </c>
      <c r="C580" s="71"/>
      <c r="D580" s="72"/>
      <c r="E580" s="72"/>
      <c r="F580" s="72"/>
      <c r="G580" s="72"/>
      <c r="H580" s="72"/>
      <c r="I580" s="72"/>
    </row>
    <row r="581" ht="15.75" customHeight="1">
      <c r="A581" s="69" t="s">
        <v>204</v>
      </c>
      <c r="B581" s="69" t="s">
        <v>624</v>
      </c>
      <c r="C581" s="71"/>
      <c r="D581" s="72"/>
      <c r="E581" s="72"/>
      <c r="F581" s="72"/>
      <c r="G581" s="72"/>
      <c r="H581" s="72"/>
      <c r="I581" s="72"/>
    </row>
    <row r="582" ht="15.75" customHeight="1">
      <c r="A582" s="69" t="s">
        <v>205</v>
      </c>
      <c r="B582" s="69" t="s">
        <v>625</v>
      </c>
      <c r="C582" s="71"/>
      <c r="D582" s="72"/>
      <c r="E582" s="72"/>
      <c r="F582" s="72"/>
      <c r="G582" s="72"/>
      <c r="H582" s="72"/>
      <c r="I582" s="72"/>
    </row>
    <row r="583" ht="15.75" customHeight="1">
      <c r="A583" s="69" t="s">
        <v>206</v>
      </c>
      <c r="B583" s="69" t="s">
        <v>626</v>
      </c>
      <c r="C583" s="71"/>
      <c r="D583" s="72"/>
      <c r="E583" s="72"/>
      <c r="F583" s="72"/>
      <c r="G583" s="72"/>
      <c r="H583" s="72"/>
      <c r="I583" s="72"/>
    </row>
    <row r="584" ht="15.75" customHeight="1">
      <c r="A584" s="74" t="s">
        <v>207</v>
      </c>
      <c r="B584" s="74" t="s">
        <v>627</v>
      </c>
      <c r="C584" s="75"/>
      <c r="D584" s="76"/>
      <c r="E584" s="76"/>
      <c r="F584" s="76"/>
      <c r="G584" s="76"/>
      <c r="H584" s="76"/>
      <c r="I584" s="76"/>
    </row>
    <row r="585" ht="15.75" customHeight="1">
      <c r="A585" s="74" t="s">
        <v>209</v>
      </c>
      <c r="B585" s="74" t="s">
        <v>208</v>
      </c>
      <c r="C585" s="75"/>
      <c r="D585" s="76"/>
      <c r="E585" s="76"/>
      <c r="F585" s="76"/>
      <c r="G585" s="76"/>
      <c r="H585" s="76"/>
      <c r="I585" s="76"/>
    </row>
    <row r="586" ht="15.75" customHeight="1">
      <c r="A586" s="77" t="s">
        <v>211</v>
      </c>
      <c r="B586" s="11"/>
      <c r="C586" s="11"/>
      <c r="D586" s="78">
        <f t="shared" ref="D586:I586" si="53">SUM(D579:D585)</f>
        <v>0</v>
      </c>
      <c r="E586" s="78">
        <f t="shared" si="53"/>
        <v>0</v>
      </c>
      <c r="F586" s="78">
        <f t="shared" si="53"/>
        <v>0</v>
      </c>
      <c r="G586" s="78">
        <f t="shared" si="53"/>
        <v>0</v>
      </c>
      <c r="H586" s="78">
        <f t="shared" si="53"/>
        <v>0</v>
      </c>
      <c r="I586" s="78">
        <f t="shared" si="53"/>
        <v>0</v>
      </c>
    </row>
    <row r="587" ht="15.75" customHeight="1"/>
    <row r="588" ht="15.75" customHeight="1"/>
    <row r="589" ht="15.75" customHeight="1">
      <c r="A589" s="5" t="s">
        <v>628</v>
      </c>
      <c r="B589" s="2"/>
      <c r="C589" s="2"/>
      <c r="D589" s="2"/>
      <c r="E589" s="2"/>
      <c r="F589" s="2"/>
      <c r="G589" s="2"/>
      <c r="H589" s="2"/>
      <c r="I589" s="3"/>
    </row>
    <row r="590" ht="15.75" customHeight="1">
      <c r="A590" s="68" t="s">
        <v>629</v>
      </c>
      <c r="B590" s="68" t="s">
        <v>630</v>
      </c>
      <c r="C590" s="68" t="s">
        <v>195</v>
      </c>
      <c r="D590" s="68" t="s">
        <v>196</v>
      </c>
      <c r="E590" s="68" t="s">
        <v>197</v>
      </c>
      <c r="F590" s="68" t="s">
        <v>198</v>
      </c>
      <c r="G590" s="68" t="s">
        <v>199</v>
      </c>
      <c r="H590" s="68" t="s">
        <v>200</v>
      </c>
      <c r="I590" s="68" t="s">
        <v>631</v>
      </c>
    </row>
    <row r="591" ht="15.75" customHeight="1">
      <c r="A591" s="23" t="s">
        <v>632</v>
      </c>
      <c r="B591" s="79" t="s">
        <v>633</v>
      </c>
      <c r="C591" s="80">
        <f t="shared" ref="C591:H591" si="54">SUM(D14,D25,D36,D47)</f>
        <v>53.5</v>
      </c>
      <c r="D591" s="80">
        <f t="shared" si="54"/>
        <v>3459</v>
      </c>
      <c r="E591" s="80">
        <f t="shared" si="54"/>
        <v>93</v>
      </c>
      <c r="F591" s="80">
        <f t="shared" si="54"/>
        <v>60</v>
      </c>
      <c r="G591" s="80">
        <f t="shared" si="54"/>
        <v>12</v>
      </c>
      <c r="H591" s="80">
        <f t="shared" si="54"/>
        <v>3</v>
      </c>
      <c r="I591" s="81">
        <f t="shared" ref="I591:I602" si="56">IFERROR(D591/F591,0)</f>
        <v>57.65</v>
      </c>
    </row>
    <row r="592" ht="15.75" customHeight="1">
      <c r="A592" s="23" t="s">
        <v>634</v>
      </c>
      <c r="B592" s="79" t="s">
        <v>635</v>
      </c>
      <c r="C592" s="80">
        <f t="shared" ref="C592:H592" si="55">SUM(D58,D69,D80,D91)</f>
        <v>56.5</v>
      </c>
      <c r="D592" s="80">
        <f t="shared" si="55"/>
        <v>3995</v>
      </c>
      <c r="E592" s="80">
        <f t="shared" si="55"/>
        <v>125</v>
      </c>
      <c r="F592" s="80">
        <f t="shared" si="55"/>
        <v>61</v>
      </c>
      <c r="G592" s="80">
        <f t="shared" si="55"/>
        <v>13</v>
      </c>
      <c r="H592" s="80">
        <f t="shared" si="55"/>
        <v>2</v>
      </c>
      <c r="I592" s="81">
        <f t="shared" si="56"/>
        <v>65.49180328</v>
      </c>
    </row>
    <row r="593" ht="15.75" customHeight="1">
      <c r="A593" s="23" t="s">
        <v>636</v>
      </c>
      <c r="B593" s="79" t="s">
        <v>637</v>
      </c>
      <c r="C593" s="80">
        <f t="shared" ref="C593:H593" si="57">SUM(D102,D113,D124,D135,D146)</f>
        <v>0</v>
      </c>
      <c r="D593" s="80">
        <f t="shared" si="57"/>
        <v>0</v>
      </c>
      <c r="E593" s="80">
        <f t="shared" si="57"/>
        <v>0</v>
      </c>
      <c r="F593" s="80">
        <f t="shared" si="57"/>
        <v>0</v>
      </c>
      <c r="G593" s="80">
        <f t="shared" si="57"/>
        <v>0</v>
      </c>
      <c r="H593" s="80">
        <f t="shared" si="57"/>
        <v>0</v>
      </c>
      <c r="I593" s="81">
        <f t="shared" si="56"/>
        <v>0</v>
      </c>
    </row>
    <row r="594" ht="15.75" customHeight="1">
      <c r="A594" s="23" t="s">
        <v>638</v>
      </c>
      <c r="B594" s="79" t="s">
        <v>639</v>
      </c>
      <c r="C594" s="80">
        <f t="shared" ref="C594:H594" si="58">SUM(D157,D168,D179,D190)</f>
        <v>0</v>
      </c>
      <c r="D594" s="80">
        <f t="shared" si="58"/>
        <v>0</v>
      </c>
      <c r="E594" s="80">
        <f t="shared" si="58"/>
        <v>0</v>
      </c>
      <c r="F594" s="80">
        <f t="shared" si="58"/>
        <v>0</v>
      </c>
      <c r="G594" s="80">
        <f t="shared" si="58"/>
        <v>0</v>
      </c>
      <c r="H594" s="80">
        <f t="shared" si="58"/>
        <v>0</v>
      </c>
      <c r="I594" s="81">
        <f t="shared" si="56"/>
        <v>0</v>
      </c>
    </row>
    <row r="595" ht="15.75" customHeight="1">
      <c r="A595" s="23" t="s">
        <v>118</v>
      </c>
      <c r="B595" s="79" t="s">
        <v>640</v>
      </c>
      <c r="C595" s="80">
        <f t="shared" ref="C595:H595" si="59">SUM(D201,D212,D223,D234)</f>
        <v>0</v>
      </c>
      <c r="D595" s="80">
        <f t="shared" si="59"/>
        <v>0</v>
      </c>
      <c r="E595" s="80">
        <f t="shared" si="59"/>
        <v>0</v>
      </c>
      <c r="F595" s="80">
        <f t="shared" si="59"/>
        <v>0</v>
      </c>
      <c r="G595" s="80">
        <f t="shared" si="59"/>
        <v>0</v>
      </c>
      <c r="H595" s="80">
        <f t="shared" si="59"/>
        <v>0</v>
      </c>
      <c r="I595" s="81">
        <f t="shared" si="56"/>
        <v>0</v>
      </c>
    </row>
    <row r="596" ht="15.75" customHeight="1">
      <c r="A596" s="23" t="s">
        <v>641</v>
      </c>
      <c r="B596" s="79" t="s">
        <v>642</v>
      </c>
      <c r="C596" s="80">
        <f t="shared" ref="C596:H596" si="60">SUM(D245,D256,D267,D278,D289)</f>
        <v>0</v>
      </c>
      <c r="D596" s="80">
        <f t="shared" si="60"/>
        <v>0</v>
      </c>
      <c r="E596" s="80">
        <f t="shared" si="60"/>
        <v>0</v>
      </c>
      <c r="F596" s="80">
        <f t="shared" si="60"/>
        <v>0</v>
      </c>
      <c r="G596" s="80">
        <f t="shared" si="60"/>
        <v>0</v>
      </c>
      <c r="H596" s="80">
        <f t="shared" si="60"/>
        <v>0</v>
      </c>
      <c r="I596" s="81">
        <f t="shared" si="56"/>
        <v>0</v>
      </c>
    </row>
    <row r="597" ht="15.75" customHeight="1">
      <c r="A597" s="23" t="s">
        <v>643</v>
      </c>
      <c r="B597" s="79" t="s">
        <v>644</v>
      </c>
      <c r="C597" s="80">
        <f t="shared" ref="C597:H597" si="61">SUM(D300,D311,D322,D333)</f>
        <v>0</v>
      </c>
      <c r="D597" s="80">
        <f t="shared" si="61"/>
        <v>0</v>
      </c>
      <c r="E597" s="80">
        <f t="shared" si="61"/>
        <v>0</v>
      </c>
      <c r="F597" s="80">
        <f t="shared" si="61"/>
        <v>0</v>
      </c>
      <c r="G597" s="80">
        <f t="shared" si="61"/>
        <v>0</v>
      </c>
      <c r="H597" s="80">
        <f t="shared" si="61"/>
        <v>0</v>
      </c>
      <c r="I597" s="81">
        <f t="shared" si="56"/>
        <v>0</v>
      </c>
    </row>
    <row r="598" ht="15.75" customHeight="1">
      <c r="A598" s="23" t="s">
        <v>645</v>
      </c>
      <c r="B598" s="79" t="s">
        <v>646</v>
      </c>
      <c r="C598" s="80">
        <f t="shared" ref="C598:H598" si="62">SUM(D344,D355,D366,D377,D388)</f>
        <v>0</v>
      </c>
      <c r="D598" s="80">
        <f t="shared" si="62"/>
        <v>0</v>
      </c>
      <c r="E598" s="80">
        <f t="shared" si="62"/>
        <v>0</v>
      </c>
      <c r="F598" s="80">
        <f t="shared" si="62"/>
        <v>0</v>
      </c>
      <c r="G598" s="80">
        <f t="shared" si="62"/>
        <v>0</v>
      </c>
      <c r="H598" s="80">
        <f t="shared" si="62"/>
        <v>0</v>
      </c>
      <c r="I598" s="81">
        <f t="shared" si="56"/>
        <v>0</v>
      </c>
    </row>
    <row r="599" ht="15.75" customHeight="1">
      <c r="A599" s="23" t="s">
        <v>647</v>
      </c>
      <c r="B599" s="79" t="s">
        <v>648</v>
      </c>
      <c r="C599" s="80">
        <f t="shared" ref="C599:H599" si="63">SUM(D399,D410,D421,D432)</f>
        <v>0</v>
      </c>
      <c r="D599" s="80">
        <f t="shared" si="63"/>
        <v>0</v>
      </c>
      <c r="E599" s="80">
        <f t="shared" si="63"/>
        <v>0</v>
      </c>
      <c r="F599" s="80">
        <f t="shared" si="63"/>
        <v>0</v>
      </c>
      <c r="G599" s="80">
        <f t="shared" si="63"/>
        <v>0</v>
      </c>
      <c r="H599" s="80">
        <f t="shared" si="63"/>
        <v>0</v>
      </c>
      <c r="I599" s="81">
        <f t="shared" si="56"/>
        <v>0</v>
      </c>
    </row>
    <row r="600" ht="15.75" customHeight="1">
      <c r="A600" s="23" t="s">
        <v>649</v>
      </c>
      <c r="B600" s="79" t="s">
        <v>650</v>
      </c>
      <c r="C600" s="80">
        <f t="shared" ref="C600:H600" si="64">SUM(D443,D454,D465,D476)</f>
        <v>0</v>
      </c>
      <c r="D600" s="80">
        <f t="shared" si="64"/>
        <v>0</v>
      </c>
      <c r="E600" s="80">
        <f t="shared" si="64"/>
        <v>0</v>
      </c>
      <c r="F600" s="80">
        <f t="shared" si="64"/>
        <v>0</v>
      </c>
      <c r="G600" s="80">
        <f t="shared" si="64"/>
        <v>0</v>
      </c>
      <c r="H600" s="80">
        <f t="shared" si="64"/>
        <v>0</v>
      </c>
      <c r="I600" s="81">
        <f t="shared" si="56"/>
        <v>0</v>
      </c>
    </row>
    <row r="601" ht="15.75" customHeight="1">
      <c r="A601" s="23" t="s">
        <v>651</v>
      </c>
      <c r="B601" s="79" t="s">
        <v>652</v>
      </c>
      <c r="C601" s="80">
        <f t="shared" ref="C601:H601" si="65">SUM(D487,D498,D509,D520,D531)</f>
        <v>0</v>
      </c>
      <c r="D601" s="80">
        <f t="shared" si="65"/>
        <v>0</v>
      </c>
      <c r="E601" s="80">
        <f t="shared" si="65"/>
        <v>0</v>
      </c>
      <c r="F601" s="80">
        <f t="shared" si="65"/>
        <v>0</v>
      </c>
      <c r="G601" s="80">
        <f t="shared" si="65"/>
        <v>0</v>
      </c>
      <c r="H601" s="80">
        <f t="shared" si="65"/>
        <v>0</v>
      </c>
      <c r="I601" s="81">
        <f t="shared" si="56"/>
        <v>0</v>
      </c>
    </row>
    <row r="602" ht="15.75" customHeight="1">
      <c r="A602" s="23" t="s">
        <v>653</v>
      </c>
      <c r="B602" s="79" t="s">
        <v>654</v>
      </c>
      <c r="C602" s="80">
        <f t="shared" ref="C602:H602" si="66">SUM(D542,D553,D564,D575,D586)</f>
        <v>0</v>
      </c>
      <c r="D602" s="80">
        <f t="shared" si="66"/>
        <v>0</v>
      </c>
      <c r="E602" s="80">
        <f t="shared" si="66"/>
        <v>0</v>
      </c>
      <c r="F602" s="80">
        <f t="shared" si="66"/>
        <v>0</v>
      </c>
      <c r="G602" s="80">
        <f t="shared" si="66"/>
        <v>0</v>
      </c>
      <c r="H602" s="80">
        <f t="shared" si="66"/>
        <v>0</v>
      </c>
      <c r="I602" s="81">
        <f t="shared" si="56"/>
        <v>0</v>
      </c>
    </row>
    <row r="603" ht="15.75" customHeight="1"/>
    <row r="604" ht="15.75" customHeight="1">
      <c r="A604" s="5" t="s">
        <v>655</v>
      </c>
      <c r="B604" s="2"/>
      <c r="C604" s="2"/>
      <c r="D604" s="2"/>
      <c r="E604" s="2"/>
      <c r="F604" s="2"/>
      <c r="G604" s="2"/>
      <c r="H604" s="2"/>
      <c r="I604" s="3"/>
    </row>
    <row r="605" ht="15.75" customHeight="1">
      <c r="A605" s="68" t="s">
        <v>83</v>
      </c>
      <c r="B605" s="68" t="s">
        <v>656</v>
      </c>
      <c r="C605" s="68" t="s">
        <v>657</v>
      </c>
      <c r="D605" s="68" t="s">
        <v>658</v>
      </c>
      <c r="E605" s="68" t="s">
        <v>154</v>
      </c>
      <c r="F605" s="68" t="s">
        <v>155</v>
      </c>
    </row>
    <row r="606" ht="15.75" customHeight="1">
      <c r="A606" s="23" t="s">
        <v>659</v>
      </c>
      <c r="B606" s="80">
        <f>SUM(D14,D25,D36,D47,D58,D69,D80,D91,D102,D113,D124,D135,D146,D157,D168,D179,D190,D201,D212,D223,D234,D245,D256,D267,D278,D289,D300,D311,D322,D333,D344,D355,D366,D377,D388,D399,D410,D421,D432,D443,D454,D465,D476,D487,D498,D509,D520,D531,D542,D553,D564,D575,D586)</f>
        <v>110</v>
      </c>
      <c r="C606" s="81">
        <f t="shared" ref="C606:C611" si="67">IFERROR(B606/52,0)</f>
        <v>2.115384615</v>
      </c>
      <c r="D606" s="81">
        <f t="shared" ref="D606:D611" si="68">IFERROR(B606/260,0)</f>
        <v>0.4230769231</v>
      </c>
      <c r="E606" s="82" t="s">
        <v>132</v>
      </c>
      <c r="F606" s="82" t="s">
        <v>132</v>
      </c>
    </row>
    <row r="607" ht="15.75" customHeight="1">
      <c r="A607" s="23" t="s">
        <v>158</v>
      </c>
      <c r="B607" s="80">
        <f>SUM(E14,E25,E36,E47,E58,E69,E80,E91,E102,E113,E124,E135,E146,E157,E168,E179,E190,E201,E212,E223,E234,E245,E256,E267,E278,E289,E300,E311,E322,E333,E344,E355,E366,E377,E388,E399,E410,E421,E432,E443,E454,E465,E476,E487,E498,E509,E520,E531,E542,E553,E564,E575,E586)</f>
        <v>7454</v>
      </c>
      <c r="C607" s="81">
        <f t="shared" si="67"/>
        <v>143.3461538</v>
      </c>
      <c r="D607" s="81">
        <f t="shared" si="68"/>
        <v>28.66923077</v>
      </c>
      <c r="E607" s="80" t="str">
        <f>'Goals &amp; Setup'!B24</f>
        <v/>
      </c>
      <c r="F607" s="83">
        <f>IFERROR(B607/E607,0)</f>
        <v>0</v>
      </c>
    </row>
    <row r="608" ht="15.75" customHeight="1">
      <c r="A608" s="23" t="s">
        <v>131</v>
      </c>
      <c r="B608" s="80">
        <f>SUM(F14,F25,F36,F47,F58,F69,F80,F91,F102,F113,F124,F135,F146,F157,F168,F179,F190,F201,F212,F223,F234,F245,F256,F267,F278,F289,F300,F311,F322,F333,F344,F355,F366,F377,F388,F399,F410,F421,F432,F443,F454,F465,F476,F487,F498,F509,F520,F531,F542,F553,F564,F575,F586)</f>
        <v>218</v>
      </c>
      <c r="C608" s="81">
        <f t="shared" si="67"/>
        <v>4.192307692</v>
      </c>
      <c r="D608" s="81">
        <f t="shared" si="68"/>
        <v>0.8384615385</v>
      </c>
      <c r="E608" s="82" t="s">
        <v>132</v>
      </c>
      <c r="F608" s="82" t="s">
        <v>132</v>
      </c>
    </row>
    <row r="609" ht="15.75" customHeight="1">
      <c r="A609" s="23" t="s">
        <v>133</v>
      </c>
      <c r="B609" s="80">
        <f>SUM(G14,G25,G36,G47,G58,G69,G80,G91,G102,G113,G124,G135,G146,G157,G168,G179,G190,G201,G212,G223,G234,G245,G256,G267,G278,G289,G300,G311,G322,G333,G344,G355,G366,G377,G388,G399,G410,G421,G432,G443,G454,G465,G476,G487,G498,G509,G520,G531,G542,G553,G564,G575,G586)</f>
        <v>121</v>
      </c>
      <c r="C609" s="81">
        <f t="shared" si="67"/>
        <v>2.326923077</v>
      </c>
      <c r="D609" s="81">
        <f t="shared" si="68"/>
        <v>0.4653846154</v>
      </c>
      <c r="E609" s="80" t="str">
        <f>'Goals &amp; Setup'!B23</f>
        <v/>
      </c>
      <c r="F609" s="83">
        <f>IFERROR(B609/E609,0)</f>
        <v>0</v>
      </c>
    </row>
    <row r="610" ht="15.75" customHeight="1">
      <c r="A610" s="23" t="s">
        <v>660</v>
      </c>
      <c r="B610" s="80">
        <f>SUM(H14,H25,H36,H47,H58,H69,H80,H91,H102,H113,H124,H135,H146,H157,H168,H179,H190,H201,H212,H223,H234,H245,H256,H267,H278,H289,H300,H311,H322,H333,H344,H355,H366,H377,H388,H399,H410,H421,H432,H443,H454,H465,H476,H487,H498,H509,H520,H531,H542,H553,H564,H575,H586)</f>
        <v>25</v>
      </c>
      <c r="C610" s="81">
        <f t="shared" si="67"/>
        <v>0.4807692308</v>
      </c>
      <c r="D610" s="81">
        <f t="shared" si="68"/>
        <v>0.09615384615</v>
      </c>
      <c r="E610" s="82" t="s">
        <v>132</v>
      </c>
      <c r="F610" s="82" t="s">
        <v>132</v>
      </c>
    </row>
    <row r="611" ht="15.75" customHeight="1">
      <c r="A611" s="23" t="s">
        <v>139</v>
      </c>
      <c r="B611" s="80">
        <f>SUM(I14,I25,I36,I47,I58,I69,I80,I91,I102,I113,I124,I135,I146,I157,I168,I179,I190,I201,I212,I223,I234,I245,I256,I267,I278,I289,I300,I311,I322,I333,I344,I355,I366,I377,I388,I399,I410,I421,I432,I443,I454,I465,I476,I487,I498,I509,I520,I531,I542,I553,I564,I575,I586)</f>
        <v>5</v>
      </c>
      <c r="C611" s="81">
        <f t="shared" si="67"/>
        <v>0.09615384615</v>
      </c>
      <c r="D611" s="81">
        <f t="shared" si="68"/>
        <v>0.01923076923</v>
      </c>
      <c r="E611" s="80" t="str">
        <f>'Goals &amp; Setup'!B21</f>
        <v/>
      </c>
      <c r="F611" s="83">
        <f>IFERROR(B611/E611,0)</f>
        <v>0</v>
      </c>
    </row>
    <row r="612" ht="15.75" customHeight="1"/>
    <row r="613" ht="15.75" customHeight="1">
      <c r="A613" s="22" t="s">
        <v>661</v>
      </c>
    </row>
    <row r="614" ht="15.75" customHeight="1">
      <c r="A614" s="25" t="s">
        <v>70</v>
      </c>
      <c r="B614" s="84">
        <f>IFERROR(B608/B610,0)</f>
        <v>8.72</v>
      </c>
    </row>
    <row r="615" ht="15.75" customHeight="1">
      <c r="A615" s="25" t="s">
        <v>74</v>
      </c>
      <c r="B615" s="84">
        <f>IFERROR(B610/B612,0)</f>
        <v>0</v>
      </c>
    </row>
    <row r="616" ht="15.75" customHeight="1">
      <c r="A616" s="25" t="s">
        <v>662</v>
      </c>
      <c r="B616" s="85">
        <f>IFERROR(B609/B608,0)</f>
        <v>0.5550458716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:I1"/>
    <mergeCell ref="A3:I3"/>
    <mergeCell ref="A5:I5"/>
    <mergeCell ref="A16:I16"/>
    <mergeCell ref="A27:I27"/>
    <mergeCell ref="A38:I38"/>
    <mergeCell ref="A49:I49"/>
    <mergeCell ref="A60:I60"/>
    <mergeCell ref="A71:I71"/>
    <mergeCell ref="A82:I82"/>
    <mergeCell ref="A93:I93"/>
    <mergeCell ref="A104:I104"/>
    <mergeCell ref="A115:I115"/>
    <mergeCell ref="A126:I126"/>
    <mergeCell ref="A137:I137"/>
    <mergeCell ref="A148:I148"/>
    <mergeCell ref="A159:I159"/>
    <mergeCell ref="A170:I170"/>
    <mergeCell ref="A181:I181"/>
    <mergeCell ref="A192:I192"/>
    <mergeCell ref="A203:I203"/>
    <mergeCell ref="A214:I214"/>
    <mergeCell ref="A225:I225"/>
    <mergeCell ref="A236:I236"/>
    <mergeCell ref="A247:I247"/>
    <mergeCell ref="A258:I258"/>
    <mergeCell ref="A269:I269"/>
    <mergeCell ref="A280:I280"/>
    <mergeCell ref="A291:I291"/>
    <mergeCell ref="A302:I302"/>
    <mergeCell ref="A313:I313"/>
    <mergeCell ref="A324:I324"/>
    <mergeCell ref="A335:I335"/>
    <mergeCell ref="A346:I346"/>
    <mergeCell ref="A357:I357"/>
    <mergeCell ref="A368:I368"/>
    <mergeCell ref="A379:I379"/>
    <mergeCell ref="A390:I390"/>
    <mergeCell ref="A401:I401"/>
    <mergeCell ref="A412:I412"/>
    <mergeCell ref="A423:I423"/>
    <mergeCell ref="A434:I434"/>
    <mergeCell ref="A522:I522"/>
    <mergeCell ref="A533:I533"/>
    <mergeCell ref="A544:I544"/>
    <mergeCell ref="A555:I555"/>
    <mergeCell ref="A566:I566"/>
    <mergeCell ref="A577:I577"/>
    <mergeCell ref="A589:I589"/>
    <mergeCell ref="A604:I604"/>
    <mergeCell ref="A445:I445"/>
    <mergeCell ref="A456:I456"/>
    <mergeCell ref="A467:I467"/>
    <mergeCell ref="A478:I478"/>
    <mergeCell ref="A489:I489"/>
    <mergeCell ref="A500:I500"/>
    <mergeCell ref="A511:I51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8.0"/>
    <col customWidth="1" min="4" max="4" width="10.0"/>
    <col customWidth="1" min="5" max="5" width="14.0"/>
    <col customWidth="1" min="6" max="7" width="16.0"/>
    <col customWidth="1" min="8" max="8" width="14.0"/>
    <col customWidth="1" min="9" max="9" width="12.0"/>
    <col customWidth="1" min="10" max="10" width="18.0"/>
    <col customWidth="1" min="11" max="26" width="8.71"/>
  </cols>
  <sheetData>
    <row r="1">
      <c r="A1" s="86" t="s">
        <v>663</v>
      </c>
      <c r="B1" s="37"/>
      <c r="C1" s="37"/>
      <c r="D1" s="37"/>
      <c r="E1" s="37"/>
      <c r="F1" s="37"/>
      <c r="G1" s="37"/>
      <c r="H1" s="37"/>
      <c r="I1" s="37"/>
      <c r="J1" s="38"/>
    </row>
    <row r="3">
      <c r="A3" s="36" t="s">
        <v>664</v>
      </c>
      <c r="B3" s="37"/>
      <c r="C3" s="37"/>
      <c r="D3" s="37"/>
      <c r="E3" s="37"/>
      <c r="F3" s="37"/>
      <c r="G3" s="37"/>
      <c r="H3" s="37"/>
      <c r="I3" s="37"/>
      <c r="J3" s="38"/>
    </row>
    <row r="5">
      <c r="A5" s="87" t="s">
        <v>191</v>
      </c>
      <c r="B5" s="37"/>
      <c r="C5" s="37"/>
      <c r="D5" s="37"/>
      <c r="E5" s="37"/>
      <c r="F5" s="37"/>
      <c r="G5" s="37"/>
      <c r="H5" s="37"/>
      <c r="I5" s="37"/>
      <c r="J5" s="38"/>
    </row>
    <row r="6">
      <c r="A6" s="39" t="s">
        <v>192</v>
      </c>
      <c r="B6" s="39" t="s">
        <v>193</v>
      </c>
      <c r="C6" s="39" t="s">
        <v>665</v>
      </c>
      <c r="D6" s="39" t="s">
        <v>195</v>
      </c>
      <c r="E6" s="39" t="s">
        <v>666</v>
      </c>
      <c r="F6" s="39" t="s">
        <v>99</v>
      </c>
      <c r="G6" s="39" t="s">
        <v>667</v>
      </c>
      <c r="H6" s="39" t="s">
        <v>135</v>
      </c>
      <c r="I6" s="39" t="s">
        <v>668</v>
      </c>
      <c r="J6" s="39" t="s">
        <v>669</v>
      </c>
    </row>
    <row r="7">
      <c r="A7" s="41" t="s">
        <v>201</v>
      </c>
      <c r="B7" s="41" t="s">
        <v>623</v>
      </c>
      <c r="C7" s="88" t="s">
        <v>670</v>
      </c>
      <c r="D7" s="41">
        <v>5.0</v>
      </c>
      <c r="E7" s="41">
        <v>42.0</v>
      </c>
      <c r="F7" s="41">
        <v>4.0</v>
      </c>
      <c r="G7" s="41">
        <v>18.0</v>
      </c>
      <c r="H7" s="41">
        <v>2.0</v>
      </c>
      <c r="I7" s="41">
        <v>1.0</v>
      </c>
      <c r="J7" s="41">
        <v>0.0</v>
      </c>
    </row>
    <row r="8">
      <c r="A8" s="41" t="s">
        <v>203</v>
      </c>
      <c r="B8" s="41" t="s">
        <v>624</v>
      </c>
      <c r="C8" s="88" t="s">
        <v>670</v>
      </c>
      <c r="D8" s="41">
        <v>5.0</v>
      </c>
      <c r="E8" s="41">
        <v>48.0</v>
      </c>
      <c r="F8" s="41">
        <v>5.0</v>
      </c>
      <c r="G8" s="41">
        <v>22.0</v>
      </c>
      <c r="H8" s="41">
        <v>2.0</v>
      </c>
      <c r="I8" s="41">
        <v>1.0</v>
      </c>
      <c r="J8" s="41">
        <v>1.0</v>
      </c>
    </row>
    <row r="9">
      <c r="A9" s="41" t="s">
        <v>204</v>
      </c>
      <c r="B9" s="41" t="s">
        <v>625</v>
      </c>
      <c r="C9" s="88" t="s">
        <v>670</v>
      </c>
      <c r="D9" s="41">
        <v>4.0</v>
      </c>
      <c r="E9" s="41">
        <v>38.0</v>
      </c>
      <c r="F9" s="41">
        <v>3.0</v>
      </c>
      <c r="G9" s="41">
        <v>15.0</v>
      </c>
      <c r="H9" s="41">
        <v>1.0</v>
      </c>
      <c r="I9" s="41">
        <v>0.0</v>
      </c>
      <c r="J9" s="41">
        <v>0.0</v>
      </c>
    </row>
    <row r="10">
      <c r="A10" s="41" t="s">
        <v>205</v>
      </c>
      <c r="B10" s="41" t="s">
        <v>626</v>
      </c>
      <c r="C10" s="88" t="s">
        <v>670</v>
      </c>
      <c r="D10" s="41">
        <v>5.0</v>
      </c>
      <c r="E10" s="41">
        <v>45.0</v>
      </c>
      <c r="F10" s="41">
        <v>4.0</v>
      </c>
      <c r="G10" s="41">
        <v>20.0</v>
      </c>
      <c r="H10" s="41">
        <v>2.0</v>
      </c>
      <c r="I10" s="41">
        <v>1.0</v>
      </c>
      <c r="J10" s="41">
        <v>0.0</v>
      </c>
    </row>
    <row r="11">
      <c r="A11" s="41" t="s">
        <v>206</v>
      </c>
      <c r="B11" s="41" t="s">
        <v>627</v>
      </c>
      <c r="C11" s="88" t="s">
        <v>670</v>
      </c>
      <c r="D11" s="41">
        <v>5.0</v>
      </c>
      <c r="E11" s="41">
        <v>50.0</v>
      </c>
      <c r="F11" s="41">
        <v>5.0</v>
      </c>
      <c r="G11" s="41">
        <v>24.0</v>
      </c>
      <c r="H11" s="41">
        <v>3.0</v>
      </c>
      <c r="I11" s="41">
        <v>2.0</v>
      </c>
      <c r="J11" s="41">
        <v>1.0</v>
      </c>
    </row>
    <row r="12">
      <c r="A12" s="89" t="s">
        <v>207</v>
      </c>
      <c r="B12" s="89" t="s">
        <v>208</v>
      </c>
      <c r="C12" s="90"/>
      <c r="D12" s="90"/>
      <c r="E12" s="90"/>
      <c r="F12" s="90"/>
      <c r="G12" s="90"/>
      <c r="H12" s="90"/>
      <c r="I12" s="90"/>
      <c r="J12" s="90"/>
    </row>
    <row r="13">
      <c r="A13" s="89" t="s">
        <v>209</v>
      </c>
      <c r="B13" s="89" t="s">
        <v>210</v>
      </c>
      <c r="C13" s="90"/>
      <c r="D13" s="90"/>
      <c r="E13" s="90"/>
      <c r="F13" s="90"/>
      <c r="G13" s="90"/>
      <c r="H13" s="90"/>
      <c r="I13" s="90"/>
      <c r="J13" s="90"/>
    </row>
    <row r="14">
      <c r="A14" s="91" t="s">
        <v>211</v>
      </c>
      <c r="B14" s="92"/>
      <c r="C14" s="92"/>
      <c r="D14" s="92">
        <f t="shared" ref="D14:J14" si="1">SUM(D7:D13)</f>
        <v>24</v>
      </c>
      <c r="E14" s="92">
        <f t="shared" si="1"/>
        <v>223</v>
      </c>
      <c r="F14" s="92">
        <f t="shared" si="1"/>
        <v>21</v>
      </c>
      <c r="G14" s="92">
        <f t="shared" si="1"/>
        <v>99</v>
      </c>
      <c r="H14" s="92">
        <f t="shared" si="1"/>
        <v>10</v>
      </c>
      <c r="I14" s="92">
        <f t="shared" si="1"/>
        <v>5</v>
      </c>
      <c r="J14" s="92">
        <f t="shared" si="1"/>
        <v>2</v>
      </c>
    </row>
    <row r="16">
      <c r="A16" s="87" t="s">
        <v>212</v>
      </c>
      <c r="B16" s="37"/>
      <c r="C16" s="37"/>
      <c r="D16" s="37"/>
      <c r="E16" s="37"/>
      <c r="F16" s="37"/>
      <c r="G16" s="37"/>
      <c r="H16" s="37"/>
      <c r="I16" s="37"/>
      <c r="J16" s="38"/>
    </row>
    <row r="17">
      <c r="A17" s="39" t="s">
        <v>192</v>
      </c>
      <c r="B17" s="39" t="s">
        <v>193</v>
      </c>
      <c r="C17" s="39" t="s">
        <v>665</v>
      </c>
      <c r="D17" s="39" t="s">
        <v>195</v>
      </c>
      <c r="E17" s="39" t="s">
        <v>666</v>
      </c>
      <c r="F17" s="39" t="s">
        <v>99</v>
      </c>
      <c r="G17" s="39" t="s">
        <v>667</v>
      </c>
      <c r="H17" s="39" t="s">
        <v>135</v>
      </c>
      <c r="I17" s="39" t="s">
        <v>668</v>
      </c>
      <c r="J17" s="39" t="s">
        <v>669</v>
      </c>
    </row>
    <row r="18">
      <c r="A18" s="41" t="s">
        <v>201</v>
      </c>
      <c r="B18" s="41" t="s">
        <v>213</v>
      </c>
      <c r="C18" s="88" t="s">
        <v>670</v>
      </c>
      <c r="D18" s="41">
        <v>6.0</v>
      </c>
      <c r="E18" s="41">
        <v>52.0</v>
      </c>
      <c r="F18" s="41">
        <v>5.0</v>
      </c>
      <c r="G18" s="41">
        <v>24.0</v>
      </c>
      <c r="H18" s="41">
        <v>2.0</v>
      </c>
      <c r="I18" s="41">
        <v>1.0</v>
      </c>
      <c r="J18" s="41">
        <v>1.0</v>
      </c>
    </row>
    <row r="19">
      <c r="A19" s="41" t="s">
        <v>203</v>
      </c>
      <c r="B19" s="41" t="s">
        <v>215</v>
      </c>
      <c r="C19" s="88" t="s">
        <v>670</v>
      </c>
      <c r="D19" s="41">
        <v>5.0</v>
      </c>
      <c r="E19" s="41">
        <v>48.0</v>
      </c>
      <c r="F19" s="41">
        <v>4.0</v>
      </c>
      <c r="G19" s="41">
        <v>20.0</v>
      </c>
      <c r="H19" s="41">
        <v>1.0</v>
      </c>
      <c r="I19" s="41">
        <v>0.0</v>
      </c>
      <c r="J19" s="41">
        <v>0.0</v>
      </c>
    </row>
    <row r="20">
      <c r="A20" s="41" t="s">
        <v>204</v>
      </c>
      <c r="B20" s="41" t="s">
        <v>216</v>
      </c>
      <c r="C20" s="88" t="s">
        <v>670</v>
      </c>
      <c r="D20" s="41">
        <v>6.0</v>
      </c>
      <c r="E20" s="41">
        <v>55.0</v>
      </c>
      <c r="F20" s="41">
        <v>5.0</v>
      </c>
      <c r="G20" s="41">
        <v>26.0</v>
      </c>
      <c r="H20" s="41">
        <v>3.0</v>
      </c>
      <c r="I20" s="41">
        <v>2.0</v>
      </c>
      <c r="J20" s="41">
        <v>0.0</v>
      </c>
    </row>
    <row r="21" ht="15.75" customHeight="1">
      <c r="A21" s="41" t="s">
        <v>205</v>
      </c>
      <c r="B21" s="41" t="s">
        <v>217</v>
      </c>
      <c r="C21" s="88" t="s">
        <v>670</v>
      </c>
      <c r="D21" s="41">
        <v>5.0</v>
      </c>
      <c r="E21" s="41">
        <v>47.0</v>
      </c>
      <c r="F21" s="41">
        <v>3.0</v>
      </c>
      <c r="G21" s="41">
        <v>22.0</v>
      </c>
      <c r="H21" s="41">
        <v>1.0</v>
      </c>
      <c r="I21" s="41">
        <v>1.0</v>
      </c>
      <c r="J21" s="41">
        <v>1.0</v>
      </c>
    </row>
    <row r="22" ht="15.75" customHeight="1">
      <c r="A22" s="41" t="s">
        <v>206</v>
      </c>
      <c r="B22" s="41" t="s">
        <v>218</v>
      </c>
      <c r="C22" s="88" t="s">
        <v>670</v>
      </c>
      <c r="D22" s="41">
        <v>6.0</v>
      </c>
      <c r="E22" s="41">
        <v>53.0</v>
      </c>
      <c r="F22" s="41">
        <v>4.0</v>
      </c>
      <c r="G22" s="41">
        <v>25.0</v>
      </c>
      <c r="H22" s="41">
        <v>2.0</v>
      </c>
      <c r="I22" s="41">
        <v>1.0</v>
      </c>
      <c r="J22" s="41">
        <v>0.0</v>
      </c>
    </row>
    <row r="23" ht="15.75" customHeight="1">
      <c r="A23" s="89" t="s">
        <v>207</v>
      </c>
      <c r="B23" s="89" t="s">
        <v>219</v>
      </c>
      <c r="C23" s="90"/>
      <c r="D23" s="90"/>
      <c r="E23" s="90"/>
      <c r="F23" s="90"/>
      <c r="G23" s="90"/>
      <c r="H23" s="90"/>
      <c r="I23" s="90"/>
      <c r="J23" s="90"/>
    </row>
    <row r="24" ht="15.75" customHeight="1">
      <c r="A24" s="89" t="s">
        <v>209</v>
      </c>
      <c r="B24" s="89" t="s">
        <v>220</v>
      </c>
      <c r="C24" s="90"/>
      <c r="D24" s="90"/>
      <c r="E24" s="90"/>
      <c r="F24" s="90"/>
      <c r="G24" s="90"/>
      <c r="H24" s="90"/>
      <c r="I24" s="90"/>
      <c r="J24" s="90"/>
    </row>
    <row r="25" ht="15.75" customHeight="1">
      <c r="A25" s="91" t="s">
        <v>211</v>
      </c>
      <c r="B25" s="92"/>
      <c r="C25" s="92"/>
      <c r="D25" s="92">
        <f t="shared" ref="D25:J25" si="2">SUM(D18:D24)</f>
        <v>28</v>
      </c>
      <c r="E25" s="92">
        <f t="shared" si="2"/>
        <v>255</v>
      </c>
      <c r="F25" s="92">
        <f t="shared" si="2"/>
        <v>21</v>
      </c>
      <c r="G25" s="92">
        <f t="shared" si="2"/>
        <v>117</v>
      </c>
      <c r="H25" s="92">
        <f t="shared" si="2"/>
        <v>9</v>
      </c>
      <c r="I25" s="92">
        <f t="shared" si="2"/>
        <v>5</v>
      </c>
      <c r="J25" s="92">
        <f t="shared" si="2"/>
        <v>2</v>
      </c>
    </row>
    <row r="26" ht="15.75" customHeight="1"/>
    <row r="27" ht="15.75" customHeight="1">
      <c r="A27" s="87" t="s">
        <v>221</v>
      </c>
      <c r="B27" s="37"/>
      <c r="C27" s="37"/>
      <c r="D27" s="37"/>
      <c r="E27" s="37"/>
      <c r="F27" s="37"/>
      <c r="G27" s="37"/>
      <c r="H27" s="37"/>
      <c r="I27" s="37"/>
      <c r="J27" s="38"/>
    </row>
    <row r="28" ht="15.75" customHeight="1">
      <c r="A28" s="39" t="s">
        <v>192</v>
      </c>
      <c r="B28" s="39" t="s">
        <v>193</v>
      </c>
      <c r="C28" s="39" t="s">
        <v>665</v>
      </c>
      <c r="D28" s="39" t="s">
        <v>195</v>
      </c>
      <c r="E28" s="39" t="s">
        <v>666</v>
      </c>
      <c r="F28" s="39" t="s">
        <v>99</v>
      </c>
      <c r="G28" s="39" t="s">
        <v>667</v>
      </c>
      <c r="H28" s="39" t="s">
        <v>135</v>
      </c>
      <c r="I28" s="39" t="s">
        <v>668</v>
      </c>
      <c r="J28" s="39" t="s">
        <v>669</v>
      </c>
    </row>
    <row r="29" ht="15.75" customHeight="1">
      <c r="A29" s="41" t="s">
        <v>201</v>
      </c>
      <c r="B29" s="41" t="s">
        <v>222</v>
      </c>
      <c r="C29" s="88" t="s">
        <v>670</v>
      </c>
      <c r="D29" s="41">
        <v>5.0</v>
      </c>
      <c r="E29" s="41">
        <v>48.0</v>
      </c>
      <c r="F29" s="41">
        <v>4.0</v>
      </c>
      <c r="G29" s="41">
        <v>22.0</v>
      </c>
      <c r="H29" s="41">
        <v>1.0</v>
      </c>
      <c r="I29" s="41">
        <v>1.0</v>
      </c>
      <c r="J29" s="41">
        <v>0.0</v>
      </c>
    </row>
    <row r="30" ht="15.75" customHeight="1">
      <c r="A30" s="41" t="s">
        <v>203</v>
      </c>
      <c r="B30" s="41" t="s">
        <v>223</v>
      </c>
      <c r="C30" s="88" t="s">
        <v>670</v>
      </c>
      <c r="D30" s="41">
        <v>6.0</v>
      </c>
      <c r="E30" s="41">
        <v>53.0</v>
      </c>
      <c r="F30" s="41">
        <v>5.0</v>
      </c>
      <c r="G30" s="41">
        <v>25.0</v>
      </c>
      <c r="H30" s="41">
        <v>2.0</v>
      </c>
      <c r="I30" s="41">
        <v>1.0</v>
      </c>
      <c r="J30" s="41">
        <v>0.0</v>
      </c>
    </row>
    <row r="31" ht="15.75" customHeight="1">
      <c r="A31" s="41" t="s">
        <v>204</v>
      </c>
      <c r="B31" s="41" t="s">
        <v>224</v>
      </c>
      <c r="C31" s="88" t="s">
        <v>670</v>
      </c>
      <c r="D31" s="41">
        <v>5.0</v>
      </c>
      <c r="E31" s="41">
        <v>45.0</v>
      </c>
      <c r="F31" s="41">
        <v>3.0</v>
      </c>
      <c r="G31" s="41">
        <v>20.0</v>
      </c>
      <c r="H31" s="41">
        <v>2.0</v>
      </c>
      <c r="I31" s="41">
        <v>1.0</v>
      </c>
      <c r="J31" s="41">
        <v>1.0</v>
      </c>
    </row>
    <row r="32" ht="15.75" customHeight="1">
      <c r="A32" s="41" t="s">
        <v>205</v>
      </c>
      <c r="B32" s="41" t="s">
        <v>225</v>
      </c>
      <c r="C32" s="88" t="s">
        <v>670</v>
      </c>
      <c r="D32" s="41">
        <v>6.0</v>
      </c>
      <c r="E32" s="41">
        <v>51.0</v>
      </c>
      <c r="F32" s="41">
        <v>4.0</v>
      </c>
      <c r="G32" s="41">
        <v>24.0</v>
      </c>
      <c r="H32" s="41">
        <v>1.0</v>
      </c>
      <c r="I32" s="41">
        <v>0.0</v>
      </c>
      <c r="J32" s="41">
        <v>0.0</v>
      </c>
    </row>
    <row r="33" ht="15.75" customHeight="1">
      <c r="A33" s="41" t="s">
        <v>206</v>
      </c>
      <c r="B33" s="41" t="s">
        <v>226</v>
      </c>
      <c r="C33" s="88" t="s">
        <v>670</v>
      </c>
      <c r="D33" s="41">
        <v>5.0</v>
      </c>
      <c r="E33" s="41">
        <v>49.0</v>
      </c>
      <c r="F33" s="41">
        <v>4.0</v>
      </c>
      <c r="G33" s="41">
        <v>22.0</v>
      </c>
      <c r="H33" s="41">
        <v>2.0</v>
      </c>
      <c r="I33" s="41">
        <v>1.0</v>
      </c>
      <c r="J33" s="41">
        <v>0.0</v>
      </c>
    </row>
    <row r="34" ht="15.75" customHeight="1">
      <c r="A34" s="89" t="s">
        <v>207</v>
      </c>
      <c r="B34" s="89" t="s">
        <v>227</v>
      </c>
      <c r="C34" s="90"/>
      <c r="D34" s="90"/>
      <c r="E34" s="90"/>
      <c r="F34" s="90"/>
      <c r="G34" s="90"/>
      <c r="H34" s="90"/>
      <c r="I34" s="90"/>
      <c r="J34" s="90"/>
    </row>
    <row r="35" ht="15.75" customHeight="1">
      <c r="A35" s="89" t="s">
        <v>209</v>
      </c>
      <c r="B35" s="89" t="s">
        <v>228</v>
      </c>
      <c r="C35" s="90"/>
      <c r="D35" s="90"/>
      <c r="E35" s="90"/>
      <c r="F35" s="90"/>
      <c r="G35" s="90"/>
      <c r="H35" s="90"/>
      <c r="I35" s="90"/>
      <c r="J35" s="90"/>
    </row>
    <row r="36" ht="15.75" customHeight="1">
      <c r="A36" s="91" t="s">
        <v>211</v>
      </c>
      <c r="B36" s="92"/>
      <c r="C36" s="92"/>
      <c r="D36" s="92">
        <f t="shared" ref="D36:J36" si="3">SUM(D29:D35)</f>
        <v>27</v>
      </c>
      <c r="E36" s="92">
        <f t="shared" si="3"/>
        <v>246</v>
      </c>
      <c r="F36" s="92">
        <f t="shared" si="3"/>
        <v>20</v>
      </c>
      <c r="G36" s="92">
        <f t="shared" si="3"/>
        <v>113</v>
      </c>
      <c r="H36" s="92">
        <f t="shared" si="3"/>
        <v>8</v>
      </c>
      <c r="I36" s="92">
        <f t="shared" si="3"/>
        <v>4</v>
      </c>
      <c r="J36" s="92">
        <f t="shared" si="3"/>
        <v>1</v>
      </c>
    </row>
    <row r="37" ht="15.75" customHeight="1"/>
    <row r="38" ht="15.75" customHeight="1">
      <c r="A38" s="87" t="s">
        <v>229</v>
      </c>
      <c r="B38" s="37"/>
      <c r="C38" s="37"/>
      <c r="D38" s="37"/>
      <c r="E38" s="37"/>
      <c r="F38" s="37"/>
      <c r="G38" s="37"/>
      <c r="H38" s="37"/>
      <c r="I38" s="37"/>
      <c r="J38" s="38"/>
    </row>
    <row r="39" ht="15.75" customHeight="1">
      <c r="A39" s="39" t="s">
        <v>192</v>
      </c>
      <c r="B39" s="39" t="s">
        <v>193</v>
      </c>
      <c r="C39" s="39" t="s">
        <v>665</v>
      </c>
      <c r="D39" s="39" t="s">
        <v>195</v>
      </c>
      <c r="E39" s="39" t="s">
        <v>666</v>
      </c>
      <c r="F39" s="39" t="s">
        <v>99</v>
      </c>
      <c r="G39" s="39" t="s">
        <v>667</v>
      </c>
      <c r="H39" s="39" t="s">
        <v>135</v>
      </c>
      <c r="I39" s="39" t="s">
        <v>668</v>
      </c>
      <c r="J39" s="39" t="s">
        <v>669</v>
      </c>
    </row>
    <row r="40" ht="15.75" customHeight="1">
      <c r="A40" s="41" t="s">
        <v>201</v>
      </c>
      <c r="B40" s="41" t="s">
        <v>230</v>
      </c>
      <c r="C40" s="88" t="s">
        <v>670</v>
      </c>
      <c r="D40" s="41">
        <v>6.0</v>
      </c>
      <c r="E40" s="41">
        <v>55.0</v>
      </c>
      <c r="F40" s="41">
        <v>5.0</v>
      </c>
      <c r="G40" s="41">
        <v>25.0</v>
      </c>
      <c r="H40" s="41">
        <v>2.0</v>
      </c>
      <c r="I40" s="41">
        <v>1.0</v>
      </c>
      <c r="J40" s="41">
        <v>1.0</v>
      </c>
    </row>
    <row r="41" ht="15.75" customHeight="1">
      <c r="A41" s="41" t="s">
        <v>203</v>
      </c>
      <c r="B41" s="41" t="s">
        <v>231</v>
      </c>
      <c r="C41" s="88" t="s">
        <v>670</v>
      </c>
      <c r="D41" s="41">
        <v>5.0</v>
      </c>
      <c r="E41" s="41">
        <v>50.0</v>
      </c>
      <c r="F41" s="41">
        <v>4.0</v>
      </c>
      <c r="G41" s="41">
        <v>22.0</v>
      </c>
      <c r="H41" s="41">
        <v>2.0</v>
      </c>
      <c r="I41" s="41">
        <v>1.0</v>
      </c>
      <c r="J41" s="41">
        <v>0.0</v>
      </c>
    </row>
    <row r="42" ht="15.75" customHeight="1">
      <c r="A42" s="41" t="s">
        <v>204</v>
      </c>
      <c r="B42" s="41" t="s">
        <v>232</v>
      </c>
      <c r="C42" s="88" t="s">
        <v>670</v>
      </c>
      <c r="D42" s="41">
        <v>6.0</v>
      </c>
      <c r="E42" s="41">
        <v>52.0</v>
      </c>
      <c r="F42" s="41">
        <v>4.0</v>
      </c>
      <c r="G42" s="41">
        <v>24.0</v>
      </c>
      <c r="H42" s="41">
        <v>1.0</v>
      </c>
      <c r="I42" s="41">
        <v>1.0</v>
      </c>
      <c r="J42" s="41">
        <v>0.0</v>
      </c>
    </row>
    <row r="43" ht="15.75" customHeight="1">
      <c r="A43" s="41" t="s">
        <v>205</v>
      </c>
      <c r="B43" s="41" t="s">
        <v>233</v>
      </c>
      <c r="C43" s="88" t="s">
        <v>670</v>
      </c>
      <c r="D43" s="41">
        <v>6.0</v>
      </c>
      <c r="E43" s="41">
        <v>54.0</v>
      </c>
      <c r="F43" s="41">
        <v>5.0</v>
      </c>
      <c r="G43" s="41">
        <v>26.0</v>
      </c>
      <c r="H43" s="41">
        <v>3.0</v>
      </c>
      <c r="I43" s="41">
        <v>2.0</v>
      </c>
      <c r="J43" s="41">
        <v>1.0</v>
      </c>
    </row>
    <row r="44" ht="15.75" customHeight="1">
      <c r="A44" s="41" t="s">
        <v>206</v>
      </c>
      <c r="B44" s="41" t="s">
        <v>234</v>
      </c>
      <c r="C44" s="88" t="s">
        <v>670</v>
      </c>
      <c r="D44" s="41">
        <v>5.0</v>
      </c>
      <c r="E44" s="41">
        <v>48.0</v>
      </c>
      <c r="F44" s="41">
        <v>3.0</v>
      </c>
      <c r="G44" s="41">
        <v>20.0</v>
      </c>
      <c r="H44" s="41">
        <v>1.0</v>
      </c>
      <c r="I44" s="41">
        <v>1.0</v>
      </c>
      <c r="J44" s="41">
        <v>0.0</v>
      </c>
    </row>
    <row r="45" ht="15.75" customHeight="1">
      <c r="A45" s="89" t="s">
        <v>207</v>
      </c>
      <c r="B45" s="89" t="s">
        <v>235</v>
      </c>
      <c r="C45" s="90"/>
      <c r="D45" s="90"/>
      <c r="E45" s="90"/>
      <c r="F45" s="90"/>
      <c r="G45" s="90"/>
      <c r="H45" s="90"/>
      <c r="I45" s="90"/>
      <c r="J45" s="90"/>
    </row>
    <row r="46" ht="15.75" customHeight="1">
      <c r="A46" s="89" t="s">
        <v>209</v>
      </c>
      <c r="B46" s="89" t="s">
        <v>236</v>
      </c>
      <c r="C46" s="90"/>
      <c r="D46" s="90"/>
      <c r="E46" s="90"/>
      <c r="F46" s="90"/>
      <c r="G46" s="90"/>
      <c r="H46" s="90"/>
      <c r="I46" s="90"/>
      <c r="J46" s="90"/>
    </row>
    <row r="47" ht="15.75" customHeight="1">
      <c r="A47" s="91" t="s">
        <v>211</v>
      </c>
      <c r="B47" s="92"/>
      <c r="C47" s="92"/>
      <c r="D47" s="92">
        <f t="shared" ref="D47:J47" si="4">SUM(D40:D46)</f>
        <v>28</v>
      </c>
      <c r="E47" s="92">
        <f t="shared" si="4"/>
        <v>259</v>
      </c>
      <c r="F47" s="92">
        <f t="shared" si="4"/>
        <v>21</v>
      </c>
      <c r="G47" s="92">
        <f t="shared" si="4"/>
        <v>117</v>
      </c>
      <c r="H47" s="92">
        <f t="shared" si="4"/>
        <v>9</v>
      </c>
      <c r="I47" s="92">
        <f t="shared" si="4"/>
        <v>6</v>
      </c>
      <c r="J47" s="92">
        <f t="shared" si="4"/>
        <v>2</v>
      </c>
    </row>
    <row r="48" ht="15.75" customHeight="1"/>
    <row r="49" ht="15.75" customHeight="1">
      <c r="A49" s="87" t="s">
        <v>237</v>
      </c>
      <c r="B49" s="37"/>
      <c r="C49" s="37"/>
      <c r="D49" s="37"/>
      <c r="E49" s="37"/>
      <c r="F49" s="37"/>
      <c r="G49" s="37"/>
      <c r="H49" s="37"/>
      <c r="I49" s="37"/>
      <c r="J49" s="38"/>
    </row>
    <row r="50" ht="15.75" customHeight="1">
      <c r="A50" s="39" t="s">
        <v>192</v>
      </c>
      <c r="B50" s="39" t="s">
        <v>193</v>
      </c>
      <c r="C50" s="39" t="s">
        <v>665</v>
      </c>
      <c r="D50" s="39" t="s">
        <v>195</v>
      </c>
      <c r="E50" s="39" t="s">
        <v>666</v>
      </c>
      <c r="F50" s="39" t="s">
        <v>99</v>
      </c>
      <c r="G50" s="39" t="s">
        <v>667</v>
      </c>
      <c r="H50" s="39" t="s">
        <v>135</v>
      </c>
      <c r="I50" s="39" t="s">
        <v>668</v>
      </c>
      <c r="J50" s="39" t="s">
        <v>669</v>
      </c>
    </row>
    <row r="51" ht="15.75" customHeight="1">
      <c r="A51" s="41" t="s">
        <v>201</v>
      </c>
      <c r="B51" s="41" t="s">
        <v>238</v>
      </c>
      <c r="C51" s="88" t="s">
        <v>670</v>
      </c>
      <c r="D51" s="41">
        <v>5.0</v>
      </c>
      <c r="E51" s="41">
        <v>47.0</v>
      </c>
      <c r="F51" s="41">
        <v>3.0</v>
      </c>
      <c r="G51" s="41">
        <v>20.0</v>
      </c>
      <c r="H51" s="41">
        <v>1.0</v>
      </c>
      <c r="I51" s="41">
        <v>0.0</v>
      </c>
      <c r="J51" s="41">
        <v>0.0</v>
      </c>
    </row>
    <row r="52" ht="15.75" customHeight="1">
      <c r="A52" s="41" t="s">
        <v>203</v>
      </c>
      <c r="B52" s="41" t="s">
        <v>239</v>
      </c>
      <c r="C52" s="88" t="s">
        <v>670</v>
      </c>
      <c r="D52" s="41">
        <v>6.0</v>
      </c>
      <c r="E52" s="41">
        <v>52.0</v>
      </c>
      <c r="F52" s="41">
        <v>5.0</v>
      </c>
      <c r="G52" s="41">
        <v>24.0</v>
      </c>
      <c r="H52" s="41">
        <v>2.0</v>
      </c>
      <c r="I52" s="41">
        <v>1.0</v>
      </c>
      <c r="J52" s="41">
        <v>1.0</v>
      </c>
    </row>
    <row r="53" ht="15.75" customHeight="1">
      <c r="A53" s="41" t="s">
        <v>204</v>
      </c>
      <c r="B53" s="41" t="s">
        <v>240</v>
      </c>
      <c r="C53" s="88" t="s">
        <v>670</v>
      </c>
      <c r="D53" s="41">
        <v>5.0</v>
      </c>
      <c r="E53" s="41">
        <v>48.0</v>
      </c>
      <c r="F53" s="41">
        <v>4.0</v>
      </c>
      <c r="G53" s="41">
        <v>22.0</v>
      </c>
      <c r="H53" s="41">
        <v>1.0</v>
      </c>
      <c r="I53" s="41">
        <v>1.0</v>
      </c>
      <c r="J53" s="41">
        <v>0.0</v>
      </c>
    </row>
    <row r="54" ht="15.75" customHeight="1">
      <c r="A54" s="41" t="s">
        <v>205</v>
      </c>
      <c r="B54" s="41" t="s">
        <v>241</v>
      </c>
      <c r="C54" s="88" t="s">
        <v>670</v>
      </c>
      <c r="D54" s="41">
        <v>5.0</v>
      </c>
      <c r="E54" s="41">
        <v>50.0</v>
      </c>
      <c r="F54" s="41">
        <v>4.0</v>
      </c>
      <c r="G54" s="41">
        <v>23.0</v>
      </c>
      <c r="H54" s="41">
        <v>2.0</v>
      </c>
      <c r="I54" s="41">
        <v>1.0</v>
      </c>
      <c r="J54" s="41">
        <v>0.0</v>
      </c>
    </row>
    <row r="55" ht="15.75" customHeight="1">
      <c r="A55" s="41" t="s">
        <v>206</v>
      </c>
      <c r="B55" s="41" t="s">
        <v>242</v>
      </c>
      <c r="C55" s="88" t="s">
        <v>670</v>
      </c>
      <c r="D55" s="41">
        <v>6.0</v>
      </c>
      <c r="E55" s="41">
        <v>55.0</v>
      </c>
      <c r="F55" s="41">
        <v>5.0</v>
      </c>
      <c r="G55" s="41">
        <v>26.0</v>
      </c>
      <c r="H55" s="41">
        <v>2.0</v>
      </c>
      <c r="I55" s="41">
        <v>1.0</v>
      </c>
      <c r="J55" s="41">
        <v>1.0</v>
      </c>
    </row>
    <row r="56" ht="15.75" customHeight="1">
      <c r="A56" s="89" t="s">
        <v>207</v>
      </c>
      <c r="B56" s="89" t="s">
        <v>243</v>
      </c>
      <c r="C56" s="90"/>
      <c r="D56" s="90"/>
      <c r="E56" s="90"/>
      <c r="F56" s="90"/>
      <c r="G56" s="90"/>
      <c r="H56" s="90"/>
      <c r="I56" s="90"/>
      <c r="J56" s="90"/>
    </row>
    <row r="57" ht="15.75" customHeight="1">
      <c r="A57" s="89" t="s">
        <v>209</v>
      </c>
      <c r="B57" s="89" t="s">
        <v>244</v>
      </c>
      <c r="C57" s="90"/>
      <c r="D57" s="90"/>
      <c r="E57" s="90"/>
      <c r="F57" s="90"/>
      <c r="G57" s="90"/>
      <c r="H57" s="90"/>
      <c r="I57" s="90"/>
      <c r="J57" s="90"/>
    </row>
    <row r="58" ht="15.75" customHeight="1">
      <c r="A58" s="91" t="s">
        <v>211</v>
      </c>
      <c r="B58" s="92"/>
      <c r="C58" s="92"/>
      <c r="D58" s="92">
        <f t="shared" ref="D58:J58" si="5">SUM(D51:D57)</f>
        <v>27</v>
      </c>
      <c r="E58" s="92">
        <f t="shared" si="5"/>
        <v>252</v>
      </c>
      <c r="F58" s="92">
        <f t="shared" si="5"/>
        <v>21</v>
      </c>
      <c r="G58" s="92">
        <f t="shared" si="5"/>
        <v>115</v>
      </c>
      <c r="H58" s="92">
        <f t="shared" si="5"/>
        <v>8</v>
      </c>
      <c r="I58" s="92">
        <f t="shared" si="5"/>
        <v>4</v>
      </c>
      <c r="J58" s="92">
        <f t="shared" si="5"/>
        <v>2</v>
      </c>
    </row>
    <row r="59" ht="15.75" customHeight="1"/>
    <row r="60" ht="15.75" customHeight="1">
      <c r="A60" s="87" t="s">
        <v>245</v>
      </c>
      <c r="B60" s="37"/>
      <c r="C60" s="37"/>
      <c r="D60" s="37"/>
      <c r="E60" s="37"/>
      <c r="F60" s="37"/>
      <c r="G60" s="37"/>
      <c r="H60" s="37"/>
      <c r="I60" s="37"/>
      <c r="J60" s="38"/>
    </row>
    <row r="61" ht="15.75" customHeight="1">
      <c r="A61" s="39" t="s">
        <v>192</v>
      </c>
      <c r="B61" s="39" t="s">
        <v>193</v>
      </c>
      <c r="C61" s="39" t="s">
        <v>665</v>
      </c>
      <c r="D61" s="39" t="s">
        <v>195</v>
      </c>
      <c r="E61" s="39" t="s">
        <v>666</v>
      </c>
      <c r="F61" s="39" t="s">
        <v>99</v>
      </c>
      <c r="G61" s="39" t="s">
        <v>667</v>
      </c>
      <c r="H61" s="39" t="s">
        <v>135</v>
      </c>
      <c r="I61" s="39" t="s">
        <v>668</v>
      </c>
      <c r="J61" s="39" t="s">
        <v>669</v>
      </c>
    </row>
    <row r="62" ht="15.75" customHeight="1">
      <c r="A62" s="41" t="s">
        <v>201</v>
      </c>
      <c r="B62" s="41" t="s">
        <v>246</v>
      </c>
      <c r="C62" s="88" t="s">
        <v>670</v>
      </c>
      <c r="D62" s="41">
        <v>6.0</v>
      </c>
      <c r="E62" s="41">
        <v>53.0</v>
      </c>
      <c r="F62" s="41">
        <v>5.0</v>
      </c>
      <c r="G62" s="41">
        <v>24.0</v>
      </c>
      <c r="H62" s="41">
        <v>2.0</v>
      </c>
      <c r="I62" s="41">
        <v>1.0</v>
      </c>
      <c r="J62" s="41">
        <v>0.0</v>
      </c>
    </row>
    <row r="63" ht="15.75" customHeight="1">
      <c r="A63" s="41" t="s">
        <v>203</v>
      </c>
      <c r="B63" s="41" t="s">
        <v>247</v>
      </c>
      <c r="C63" s="88" t="s">
        <v>670</v>
      </c>
      <c r="D63" s="41">
        <v>5.0</v>
      </c>
      <c r="E63" s="41">
        <v>48.0</v>
      </c>
      <c r="F63" s="41">
        <v>3.0</v>
      </c>
      <c r="G63" s="41">
        <v>20.0</v>
      </c>
      <c r="H63" s="41">
        <v>1.0</v>
      </c>
      <c r="I63" s="41">
        <v>1.0</v>
      </c>
      <c r="J63" s="41">
        <v>0.0</v>
      </c>
    </row>
    <row r="64" ht="15.75" customHeight="1">
      <c r="A64" s="41" t="s">
        <v>204</v>
      </c>
      <c r="B64" s="41" t="s">
        <v>248</v>
      </c>
      <c r="C64" s="88" t="s">
        <v>670</v>
      </c>
      <c r="D64" s="41">
        <v>6.0</v>
      </c>
      <c r="E64" s="41">
        <v>55.0</v>
      </c>
      <c r="F64" s="41">
        <v>5.0</v>
      </c>
      <c r="G64" s="41">
        <v>26.0</v>
      </c>
      <c r="H64" s="41">
        <v>2.0</v>
      </c>
      <c r="I64" s="41">
        <v>1.0</v>
      </c>
      <c r="J64" s="41">
        <v>1.0</v>
      </c>
    </row>
    <row r="65" ht="15.75" customHeight="1">
      <c r="A65" s="41" t="s">
        <v>205</v>
      </c>
      <c r="B65" s="41" t="s">
        <v>249</v>
      </c>
      <c r="C65" s="88" t="s">
        <v>670</v>
      </c>
      <c r="D65" s="41">
        <v>5.0</v>
      </c>
      <c r="E65" s="41">
        <v>46.0</v>
      </c>
      <c r="F65" s="41">
        <v>3.0</v>
      </c>
      <c r="G65" s="41">
        <v>20.0</v>
      </c>
      <c r="H65" s="41">
        <v>1.0</v>
      </c>
      <c r="I65" s="41">
        <v>0.0</v>
      </c>
      <c r="J65" s="41">
        <v>0.0</v>
      </c>
    </row>
    <row r="66" ht="15.75" customHeight="1">
      <c r="A66" s="41" t="s">
        <v>206</v>
      </c>
      <c r="B66" s="41" t="s">
        <v>250</v>
      </c>
      <c r="C66" s="88" t="s">
        <v>670</v>
      </c>
      <c r="D66" s="41">
        <v>5.0</v>
      </c>
      <c r="E66" s="41">
        <v>50.0</v>
      </c>
      <c r="F66" s="41">
        <v>4.0</v>
      </c>
      <c r="G66" s="41">
        <v>22.0</v>
      </c>
      <c r="H66" s="41">
        <v>1.0</v>
      </c>
      <c r="I66" s="41">
        <v>1.0</v>
      </c>
      <c r="J66" s="41">
        <v>0.0</v>
      </c>
    </row>
    <row r="67" ht="15.75" customHeight="1">
      <c r="A67" s="89" t="s">
        <v>207</v>
      </c>
      <c r="B67" s="89" t="s">
        <v>251</v>
      </c>
      <c r="C67" s="90"/>
      <c r="D67" s="90"/>
      <c r="E67" s="90"/>
      <c r="F67" s="90"/>
      <c r="G67" s="90"/>
      <c r="H67" s="90"/>
      <c r="I67" s="90"/>
      <c r="J67" s="90"/>
    </row>
    <row r="68" ht="15.75" customHeight="1">
      <c r="A68" s="89" t="s">
        <v>209</v>
      </c>
      <c r="B68" s="89" t="s">
        <v>252</v>
      </c>
      <c r="C68" s="90"/>
      <c r="D68" s="90"/>
      <c r="E68" s="90"/>
      <c r="F68" s="90"/>
      <c r="G68" s="90"/>
      <c r="H68" s="90"/>
      <c r="I68" s="90"/>
      <c r="J68" s="90"/>
    </row>
    <row r="69" ht="15.75" customHeight="1">
      <c r="A69" s="91" t="s">
        <v>211</v>
      </c>
      <c r="B69" s="92"/>
      <c r="C69" s="92"/>
      <c r="D69" s="92">
        <f t="shared" ref="D69:J69" si="6">SUM(D62:D68)</f>
        <v>27</v>
      </c>
      <c r="E69" s="92">
        <f t="shared" si="6"/>
        <v>252</v>
      </c>
      <c r="F69" s="92">
        <f t="shared" si="6"/>
        <v>20</v>
      </c>
      <c r="G69" s="92">
        <f t="shared" si="6"/>
        <v>112</v>
      </c>
      <c r="H69" s="92">
        <f t="shared" si="6"/>
        <v>7</v>
      </c>
      <c r="I69" s="92">
        <f t="shared" si="6"/>
        <v>4</v>
      </c>
      <c r="J69" s="92">
        <f t="shared" si="6"/>
        <v>1</v>
      </c>
    </row>
    <row r="70" ht="15.75" customHeight="1"/>
    <row r="71" ht="15.75" customHeight="1">
      <c r="A71" s="87" t="s">
        <v>253</v>
      </c>
      <c r="B71" s="37"/>
      <c r="C71" s="37"/>
      <c r="D71" s="37"/>
      <c r="E71" s="37"/>
      <c r="F71" s="37"/>
      <c r="G71" s="37"/>
      <c r="H71" s="37"/>
      <c r="I71" s="37"/>
      <c r="J71" s="38"/>
    </row>
    <row r="72" ht="15.75" customHeight="1">
      <c r="A72" s="39" t="s">
        <v>192</v>
      </c>
      <c r="B72" s="39" t="s">
        <v>193</v>
      </c>
      <c r="C72" s="39" t="s">
        <v>665</v>
      </c>
      <c r="D72" s="39" t="s">
        <v>195</v>
      </c>
      <c r="E72" s="39" t="s">
        <v>666</v>
      </c>
      <c r="F72" s="39" t="s">
        <v>99</v>
      </c>
      <c r="G72" s="39" t="s">
        <v>667</v>
      </c>
      <c r="H72" s="39" t="s">
        <v>135</v>
      </c>
      <c r="I72" s="39" t="s">
        <v>668</v>
      </c>
      <c r="J72" s="39" t="s">
        <v>669</v>
      </c>
    </row>
    <row r="73" ht="15.75" customHeight="1">
      <c r="A73" s="41" t="s">
        <v>201</v>
      </c>
      <c r="B73" s="41" t="s">
        <v>254</v>
      </c>
      <c r="C73" s="88" t="s">
        <v>670</v>
      </c>
      <c r="D73" s="41">
        <v>5.0</v>
      </c>
      <c r="E73" s="41">
        <v>50.0</v>
      </c>
      <c r="F73" s="41">
        <v>4.0</v>
      </c>
      <c r="G73" s="41">
        <v>22.0</v>
      </c>
      <c r="H73" s="41">
        <v>1.0</v>
      </c>
      <c r="I73" s="41">
        <v>1.0</v>
      </c>
      <c r="J73" s="41">
        <v>0.0</v>
      </c>
    </row>
    <row r="74" ht="15.75" customHeight="1">
      <c r="A74" s="41" t="s">
        <v>203</v>
      </c>
      <c r="B74" s="41" t="s">
        <v>255</v>
      </c>
      <c r="C74" s="88" t="s">
        <v>670</v>
      </c>
      <c r="D74" s="41">
        <v>6.0</v>
      </c>
      <c r="E74" s="41">
        <v>54.0</v>
      </c>
      <c r="F74" s="41">
        <v>5.0</v>
      </c>
      <c r="G74" s="41">
        <v>25.0</v>
      </c>
      <c r="H74" s="41">
        <v>2.0</v>
      </c>
      <c r="I74" s="41">
        <v>1.0</v>
      </c>
      <c r="J74" s="41">
        <v>1.0</v>
      </c>
    </row>
    <row r="75" ht="15.75" customHeight="1">
      <c r="A75" s="41" t="s">
        <v>204</v>
      </c>
      <c r="B75" s="41" t="s">
        <v>256</v>
      </c>
      <c r="C75" s="88" t="s">
        <v>670</v>
      </c>
      <c r="D75" s="41">
        <v>5.0</v>
      </c>
      <c r="E75" s="41">
        <v>47.0</v>
      </c>
      <c r="F75" s="41">
        <v>3.0</v>
      </c>
      <c r="G75" s="41">
        <v>20.0</v>
      </c>
      <c r="H75" s="41">
        <v>1.0</v>
      </c>
      <c r="I75" s="41">
        <v>0.0</v>
      </c>
      <c r="J75" s="41">
        <v>0.0</v>
      </c>
    </row>
    <row r="76" ht="15.75" customHeight="1">
      <c r="A76" s="41" t="s">
        <v>205</v>
      </c>
      <c r="B76" s="41" t="s">
        <v>257</v>
      </c>
      <c r="C76" s="88" t="s">
        <v>670</v>
      </c>
      <c r="D76" s="41">
        <v>6.0</v>
      </c>
      <c r="E76" s="41">
        <v>52.0</v>
      </c>
      <c r="F76" s="41">
        <v>4.0</v>
      </c>
      <c r="G76" s="41">
        <v>24.0</v>
      </c>
      <c r="H76" s="41">
        <v>2.0</v>
      </c>
      <c r="I76" s="41">
        <v>1.0</v>
      </c>
      <c r="J76" s="41">
        <v>0.0</v>
      </c>
    </row>
    <row r="77" ht="15.75" customHeight="1">
      <c r="A77" s="41" t="s">
        <v>206</v>
      </c>
      <c r="B77" s="41" t="s">
        <v>258</v>
      </c>
      <c r="C77" s="88" t="s">
        <v>670</v>
      </c>
      <c r="D77" s="41">
        <v>5.0</v>
      </c>
      <c r="E77" s="41">
        <v>48.0</v>
      </c>
      <c r="F77" s="41">
        <v>4.0</v>
      </c>
      <c r="G77" s="41">
        <v>21.0</v>
      </c>
      <c r="H77" s="41">
        <v>1.0</v>
      </c>
      <c r="I77" s="41">
        <v>0.0</v>
      </c>
      <c r="J77" s="41">
        <v>1.0</v>
      </c>
    </row>
    <row r="78" ht="15.75" customHeight="1">
      <c r="A78" s="89" t="s">
        <v>207</v>
      </c>
      <c r="B78" s="89" t="s">
        <v>259</v>
      </c>
      <c r="C78" s="90"/>
      <c r="D78" s="90"/>
      <c r="E78" s="90"/>
      <c r="F78" s="90"/>
      <c r="G78" s="90"/>
      <c r="H78" s="90"/>
      <c r="I78" s="90"/>
      <c r="J78" s="90"/>
    </row>
    <row r="79" ht="15.75" customHeight="1">
      <c r="A79" s="89" t="s">
        <v>209</v>
      </c>
      <c r="B79" s="89" t="s">
        <v>260</v>
      </c>
      <c r="C79" s="90"/>
      <c r="D79" s="90"/>
      <c r="E79" s="90"/>
      <c r="F79" s="90"/>
      <c r="G79" s="90"/>
      <c r="H79" s="90"/>
      <c r="I79" s="90"/>
      <c r="J79" s="90"/>
    </row>
    <row r="80" ht="15.75" customHeight="1">
      <c r="A80" s="91" t="s">
        <v>211</v>
      </c>
      <c r="B80" s="92"/>
      <c r="C80" s="92"/>
      <c r="D80" s="92">
        <f t="shared" ref="D80:J80" si="7">SUM(D73:D79)</f>
        <v>27</v>
      </c>
      <c r="E80" s="92">
        <f t="shared" si="7"/>
        <v>251</v>
      </c>
      <c r="F80" s="92">
        <f t="shared" si="7"/>
        <v>20</v>
      </c>
      <c r="G80" s="92">
        <f t="shared" si="7"/>
        <v>112</v>
      </c>
      <c r="H80" s="92">
        <f t="shared" si="7"/>
        <v>7</v>
      </c>
      <c r="I80" s="92">
        <f t="shared" si="7"/>
        <v>3</v>
      </c>
      <c r="J80" s="92">
        <f t="shared" si="7"/>
        <v>2</v>
      </c>
    </row>
    <row r="81" ht="15.75" customHeight="1"/>
    <row r="82" ht="15.75" customHeight="1">
      <c r="A82" s="87" t="s">
        <v>261</v>
      </c>
      <c r="B82" s="37"/>
      <c r="C82" s="37"/>
      <c r="D82" s="37"/>
      <c r="E82" s="37"/>
      <c r="F82" s="37"/>
      <c r="G82" s="37"/>
      <c r="H82" s="37"/>
      <c r="I82" s="37"/>
      <c r="J82" s="38"/>
    </row>
    <row r="83" ht="15.75" customHeight="1">
      <c r="A83" s="39" t="s">
        <v>192</v>
      </c>
      <c r="B83" s="39" t="s">
        <v>193</v>
      </c>
      <c r="C83" s="39" t="s">
        <v>665</v>
      </c>
      <c r="D83" s="39" t="s">
        <v>195</v>
      </c>
      <c r="E83" s="39" t="s">
        <v>666</v>
      </c>
      <c r="F83" s="39" t="s">
        <v>99</v>
      </c>
      <c r="G83" s="39" t="s">
        <v>667</v>
      </c>
      <c r="H83" s="39" t="s">
        <v>135</v>
      </c>
      <c r="I83" s="39" t="s">
        <v>668</v>
      </c>
      <c r="J83" s="39" t="s">
        <v>669</v>
      </c>
    </row>
    <row r="84" ht="15.75" customHeight="1">
      <c r="A84" s="41" t="s">
        <v>201</v>
      </c>
      <c r="B84" s="41" t="s">
        <v>262</v>
      </c>
      <c r="C84" s="88" t="s">
        <v>670</v>
      </c>
      <c r="D84" s="41">
        <v>6.0</v>
      </c>
      <c r="E84" s="41">
        <v>55.0</v>
      </c>
      <c r="F84" s="41">
        <v>5.0</v>
      </c>
      <c r="G84" s="41">
        <v>26.0</v>
      </c>
      <c r="H84" s="41">
        <v>2.0</v>
      </c>
      <c r="I84" s="41">
        <v>1.0</v>
      </c>
      <c r="J84" s="41">
        <v>1.0</v>
      </c>
    </row>
    <row r="85" ht="15.75" customHeight="1">
      <c r="A85" s="41" t="s">
        <v>203</v>
      </c>
      <c r="B85" s="41" t="s">
        <v>263</v>
      </c>
      <c r="C85" s="88" t="s">
        <v>670</v>
      </c>
      <c r="D85" s="41">
        <v>5.0</v>
      </c>
      <c r="E85" s="41">
        <v>49.0</v>
      </c>
      <c r="F85" s="41">
        <v>4.0</v>
      </c>
      <c r="G85" s="41">
        <v>22.0</v>
      </c>
      <c r="H85" s="41">
        <v>1.0</v>
      </c>
      <c r="I85" s="41">
        <v>0.0</v>
      </c>
      <c r="J85" s="41">
        <v>0.0</v>
      </c>
    </row>
    <row r="86" ht="15.75" customHeight="1">
      <c r="A86" s="41" t="s">
        <v>204</v>
      </c>
      <c r="B86" s="41" t="s">
        <v>264</v>
      </c>
      <c r="C86" s="88" t="s">
        <v>670</v>
      </c>
      <c r="D86" s="41">
        <v>6.0</v>
      </c>
      <c r="E86" s="41">
        <v>53.0</v>
      </c>
      <c r="F86" s="41">
        <v>5.0</v>
      </c>
      <c r="G86" s="41">
        <v>24.0</v>
      </c>
      <c r="H86" s="41">
        <v>2.0</v>
      </c>
      <c r="I86" s="41">
        <v>1.0</v>
      </c>
      <c r="J86" s="41">
        <v>0.0</v>
      </c>
    </row>
    <row r="87" ht="15.75" customHeight="1">
      <c r="A87" s="41" t="s">
        <v>205</v>
      </c>
      <c r="B87" s="41" t="s">
        <v>265</v>
      </c>
      <c r="C87" s="88" t="s">
        <v>670</v>
      </c>
      <c r="D87" s="41">
        <v>5.0</v>
      </c>
      <c r="E87" s="41">
        <v>47.0</v>
      </c>
      <c r="F87" s="41">
        <v>3.0</v>
      </c>
      <c r="G87" s="41">
        <v>20.0</v>
      </c>
      <c r="H87" s="41">
        <v>1.0</v>
      </c>
      <c r="I87" s="41">
        <v>1.0</v>
      </c>
      <c r="J87" s="41">
        <v>0.0</v>
      </c>
    </row>
    <row r="88" ht="15.75" customHeight="1">
      <c r="A88" s="41" t="s">
        <v>206</v>
      </c>
      <c r="B88" s="41" t="s">
        <v>266</v>
      </c>
      <c r="C88" s="88" t="s">
        <v>670</v>
      </c>
      <c r="D88" s="41">
        <v>6.0</v>
      </c>
      <c r="E88" s="41">
        <v>52.0</v>
      </c>
      <c r="F88" s="41">
        <v>4.0</v>
      </c>
      <c r="G88" s="41">
        <v>24.0</v>
      </c>
      <c r="H88" s="41">
        <v>2.0</v>
      </c>
      <c r="I88" s="41">
        <v>1.0</v>
      </c>
      <c r="J88" s="41">
        <v>1.0</v>
      </c>
    </row>
    <row r="89" ht="15.75" customHeight="1">
      <c r="A89" s="89" t="s">
        <v>207</v>
      </c>
      <c r="B89" s="89" t="s">
        <v>267</v>
      </c>
      <c r="C89" s="90"/>
      <c r="D89" s="90"/>
      <c r="E89" s="90"/>
      <c r="F89" s="90"/>
      <c r="G89" s="90"/>
      <c r="H89" s="90"/>
      <c r="I89" s="90"/>
      <c r="J89" s="90"/>
    </row>
    <row r="90" ht="15.75" customHeight="1">
      <c r="A90" s="89" t="s">
        <v>209</v>
      </c>
      <c r="B90" s="89" t="s">
        <v>268</v>
      </c>
      <c r="C90" s="90"/>
      <c r="D90" s="90"/>
      <c r="E90" s="90"/>
      <c r="F90" s="90"/>
      <c r="G90" s="90"/>
      <c r="H90" s="90"/>
      <c r="I90" s="90"/>
      <c r="J90" s="90"/>
    </row>
    <row r="91" ht="15.75" customHeight="1">
      <c r="A91" s="91" t="s">
        <v>211</v>
      </c>
      <c r="B91" s="92"/>
      <c r="C91" s="92"/>
      <c r="D91" s="92">
        <f t="shared" ref="D91:J91" si="8">SUM(D84:D90)</f>
        <v>28</v>
      </c>
      <c r="E91" s="92">
        <f t="shared" si="8"/>
        <v>256</v>
      </c>
      <c r="F91" s="92">
        <f t="shared" si="8"/>
        <v>21</v>
      </c>
      <c r="G91" s="92">
        <f t="shared" si="8"/>
        <v>116</v>
      </c>
      <c r="H91" s="92">
        <f t="shared" si="8"/>
        <v>8</v>
      </c>
      <c r="I91" s="92">
        <f t="shared" si="8"/>
        <v>4</v>
      </c>
      <c r="J91" s="92">
        <f t="shared" si="8"/>
        <v>2</v>
      </c>
    </row>
    <row r="92" ht="15.75" customHeight="1"/>
    <row r="93" ht="15.75" customHeight="1">
      <c r="A93" s="87" t="s">
        <v>269</v>
      </c>
      <c r="B93" s="37"/>
      <c r="C93" s="37"/>
      <c r="D93" s="37"/>
      <c r="E93" s="37"/>
      <c r="F93" s="37"/>
      <c r="G93" s="37"/>
      <c r="H93" s="37"/>
      <c r="I93" s="37"/>
      <c r="J93" s="38"/>
    </row>
    <row r="94" ht="15.75" customHeight="1">
      <c r="A94" s="39" t="s">
        <v>192</v>
      </c>
      <c r="B94" s="39" t="s">
        <v>193</v>
      </c>
      <c r="C94" s="39" t="s">
        <v>665</v>
      </c>
      <c r="D94" s="39" t="s">
        <v>195</v>
      </c>
      <c r="E94" s="39" t="s">
        <v>666</v>
      </c>
      <c r="F94" s="39" t="s">
        <v>99</v>
      </c>
      <c r="G94" s="39" t="s">
        <v>667</v>
      </c>
      <c r="H94" s="39" t="s">
        <v>135</v>
      </c>
      <c r="I94" s="39" t="s">
        <v>668</v>
      </c>
      <c r="J94" s="39" t="s">
        <v>669</v>
      </c>
    </row>
    <row r="95" ht="15.75" customHeight="1">
      <c r="A95" s="41" t="s">
        <v>201</v>
      </c>
      <c r="B95" s="41" t="s">
        <v>270</v>
      </c>
      <c r="C95" s="93"/>
      <c r="D95" s="93"/>
      <c r="E95" s="93"/>
      <c r="F95" s="93"/>
      <c r="G95" s="93"/>
      <c r="H95" s="93"/>
      <c r="I95" s="93"/>
      <c r="J95" s="93"/>
    </row>
    <row r="96" ht="15.75" customHeight="1">
      <c r="A96" s="41" t="s">
        <v>203</v>
      </c>
      <c r="B96" s="41" t="s">
        <v>271</v>
      </c>
      <c r="C96" s="93"/>
      <c r="D96" s="93"/>
      <c r="E96" s="93"/>
      <c r="F96" s="93"/>
      <c r="G96" s="93"/>
      <c r="H96" s="93"/>
      <c r="I96" s="93"/>
      <c r="J96" s="93"/>
    </row>
    <row r="97" ht="15.75" customHeight="1">
      <c r="A97" s="41" t="s">
        <v>204</v>
      </c>
      <c r="B97" s="41" t="s">
        <v>272</v>
      </c>
      <c r="C97" s="93"/>
      <c r="D97" s="93"/>
      <c r="E97" s="93"/>
      <c r="F97" s="93"/>
      <c r="G97" s="93"/>
      <c r="H97" s="93"/>
      <c r="I97" s="93"/>
      <c r="J97" s="93"/>
    </row>
    <row r="98" ht="15.75" customHeight="1">
      <c r="A98" s="41" t="s">
        <v>205</v>
      </c>
      <c r="B98" s="41" t="s">
        <v>273</v>
      </c>
      <c r="C98" s="93"/>
      <c r="D98" s="93"/>
      <c r="E98" s="93"/>
      <c r="F98" s="93"/>
      <c r="G98" s="93"/>
      <c r="H98" s="93"/>
      <c r="I98" s="93"/>
      <c r="J98" s="93"/>
    </row>
    <row r="99" ht="15.75" customHeight="1">
      <c r="A99" s="41" t="s">
        <v>206</v>
      </c>
      <c r="B99" s="41" t="s">
        <v>274</v>
      </c>
      <c r="C99" s="93"/>
      <c r="D99" s="93"/>
      <c r="E99" s="93"/>
      <c r="F99" s="93"/>
      <c r="G99" s="93"/>
      <c r="H99" s="93"/>
      <c r="I99" s="93"/>
      <c r="J99" s="93"/>
    </row>
    <row r="100" ht="15.75" customHeight="1">
      <c r="A100" s="89" t="s">
        <v>207</v>
      </c>
      <c r="B100" s="89" t="s">
        <v>275</v>
      </c>
      <c r="C100" s="90"/>
      <c r="D100" s="90"/>
      <c r="E100" s="90"/>
      <c r="F100" s="90"/>
      <c r="G100" s="90"/>
      <c r="H100" s="90"/>
      <c r="I100" s="90"/>
      <c r="J100" s="90"/>
    </row>
    <row r="101" ht="15.75" customHeight="1">
      <c r="A101" s="89" t="s">
        <v>209</v>
      </c>
      <c r="B101" s="89" t="s">
        <v>276</v>
      </c>
      <c r="C101" s="90"/>
      <c r="D101" s="90"/>
      <c r="E101" s="90"/>
      <c r="F101" s="90"/>
      <c r="G101" s="90"/>
      <c r="H101" s="90"/>
      <c r="I101" s="90"/>
      <c r="J101" s="90"/>
    </row>
    <row r="102" ht="15.75" customHeight="1">
      <c r="A102" s="91" t="s">
        <v>211</v>
      </c>
      <c r="B102" s="92"/>
      <c r="C102" s="92"/>
      <c r="D102" s="92">
        <f t="shared" ref="D102:J102" si="9">SUM(D95:D101)</f>
        <v>0</v>
      </c>
      <c r="E102" s="92">
        <f t="shared" si="9"/>
        <v>0</v>
      </c>
      <c r="F102" s="92">
        <f t="shared" si="9"/>
        <v>0</v>
      </c>
      <c r="G102" s="92">
        <f t="shared" si="9"/>
        <v>0</v>
      </c>
      <c r="H102" s="92">
        <f t="shared" si="9"/>
        <v>0</v>
      </c>
      <c r="I102" s="92">
        <f t="shared" si="9"/>
        <v>0</v>
      </c>
      <c r="J102" s="92">
        <f t="shared" si="9"/>
        <v>0</v>
      </c>
    </row>
    <row r="103" ht="15.75" customHeight="1"/>
    <row r="104" ht="15.75" customHeight="1">
      <c r="A104" s="87" t="s">
        <v>277</v>
      </c>
      <c r="B104" s="37"/>
      <c r="C104" s="37"/>
      <c r="D104" s="37"/>
      <c r="E104" s="37"/>
      <c r="F104" s="37"/>
      <c r="G104" s="37"/>
      <c r="H104" s="37"/>
      <c r="I104" s="37"/>
      <c r="J104" s="38"/>
    </row>
    <row r="105" ht="15.75" customHeight="1">
      <c r="A105" s="39" t="s">
        <v>192</v>
      </c>
      <c r="B105" s="39" t="s">
        <v>193</v>
      </c>
      <c r="C105" s="39" t="s">
        <v>665</v>
      </c>
      <c r="D105" s="39" t="s">
        <v>195</v>
      </c>
      <c r="E105" s="39" t="s">
        <v>666</v>
      </c>
      <c r="F105" s="39" t="s">
        <v>99</v>
      </c>
      <c r="G105" s="39" t="s">
        <v>667</v>
      </c>
      <c r="H105" s="39" t="s">
        <v>135</v>
      </c>
      <c r="I105" s="39" t="s">
        <v>668</v>
      </c>
      <c r="J105" s="39" t="s">
        <v>669</v>
      </c>
    </row>
    <row r="106" ht="15.75" customHeight="1">
      <c r="A106" s="41" t="s">
        <v>201</v>
      </c>
      <c r="B106" s="41" t="s">
        <v>278</v>
      </c>
      <c r="C106" s="93"/>
      <c r="D106" s="93"/>
      <c r="E106" s="93"/>
      <c r="F106" s="93"/>
      <c r="G106" s="93"/>
      <c r="H106" s="93"/>
      <c r="I106" s="93"/>
      <c r="J106" s="93"/>
    </row>
    <row r="107" ht="15.75" customHeight="1">
      <c r="A107" s="41" t="s">
        <v>203</v>
      </c>
      <c r="B107" s="41" t="s">
        <v>279</v>
      </c>
      <c r="C107" s="93"/>
      <c r="D107" s="93"/>
      <c r="E107" s="93"/>
      <c r="F107" s="93"/>
      <c r="G107" s="93"/>
      <c r="H107" s="93"/>
      <c r="I107" s="93"/>
      <c r="J107" s="93"/>
    </row>
    <row r="108" ht="15.75" customHeight="1">
      <c r="A108" s="41" t="s">
        <v>204</v>
      </c>
      <c r="B108" s="41" t="s">
        <v>280</v>
      </c>
      <c r="C108" s="93"/>
      <c r="D108" s="93"/>
      <c r="E108" s="93"/>
      <c r="F108" s="93"/>
      <c r="G108" s="93"/>
      <c r="H108" s="93"/>
      <c r="I108" s="93"/>
      <c r="J108" s="93"/>
    </row>
    <row r="109" ht="15.75" customHeight="1">
      <c r="A109" s="41" t="s">
        <v>205</v>
      </c>
      <c r="B109" s="41" t="s">
        <v>281</v>
      </c>
      <c r="C109" s="93"/>
      <c r="D109" s="93"/>
      <c r="E109" s="93"/>
      <c r="F109" s="93"/>
      <c r="G109" s="93"/>
      <c r="H109" s="93"/>
      <c r="I109" s="93"/>
      <c r="J109" s="93"/>
    </row>
    <row r="110" ht="15.75" customHeight="1">
      <c r="A110" s="41" t="s">
        <v>206</v>
      </c>
      <c r="B110" s="41" t="s">
        <v>282</v>
      </c>
      <c r="C110" s="93"/>
      <c r="D110" s="93"/>
      <c r="E110" s="93"/>
      <c r="F110" s="93"/>
      <c r="G110" s="93"/>
      <c r="H110" s="93"/>
      <c r="I110" s="93"/>
      <c r="J110" s="93"/>
    </row>
    <row r="111" ht="15.75" customHeight="1">
      <c r="A111" s="89" t="s">
        <v>207</v>
      </c>
      <c r="B111" s="89" t="s">
        <v>283</v>
      </c>
      <c r="C111" s="90"/>
      <c r="D111" s="90"/>
      <c r="E111" s="90"/>
      <c r="F111" s="90"/>
      <c r="G111" s="90"/>
      <c r="H111" s="90"/>
      <c r="I111" s="90"/>
      <c r="J111" s="90"/>
    </row>
    <row r="112" ht="15.75" customHeight="1">
      <c r="A112" s="89" t="s">
        <v>209</v>
      </c>
      <c r="B112" s="89" t="s">
        <v>284</v>
      </c>
      <c r="C112" s="90"/>
      <c r="D112" s="90"/>
      <c r="E112" s="90"/>
      <c r="F112" s="90"/>
      <c r="G112" s="90"/>
      <c r="H112" s="90"/>
      <c r="I112" s="90"/>
      <c r="J112" s="90"/>
    </row>
    <row r="113" ht="15.75" customHeight="1">
      <c r="A113" s="91" t="s">
        <v>211</v>
      </c>
      <c r="B113" s="92"/>
      <c r="C113" s="92"/>
      <c r="D113" s="92">
        <f t="shared" ref="D113:J113" si="10">SUM(D106:D112)</f>
        <v>0</v>
      </c>
      <c r="E113" s="92">
        <f t="shared" si="10"/>
        <v>0</v>
      </c>
      <c r="F113" s="92">
        <f t="shared" si="10"/>
        <v>0</v>
      </c>
      <c r="G113" s="92">
        <f t="shared" si="10"/>
        <v>0</v>
      </c>
      <c r="H113" s="92">
        <f t="shared" si="10"/>
        <v>0</v>
      </c>
      <c r="I113" s="92">
        <f t="shared" si="10"/>
        <v>0</v>
      </c>
      <c r="J113" s="92">
        <f t="shared" si="10"/>
        <v>0</v>
      </c>
    </row>
    <row r="114" ht="15.75" customHeight="1"/>
    <row r="115" ht="15.75" customHeight="1">
      <c r="A115" s="87" t="s">
        <v>285</v>
      </c>
      <c r="B115" s="37"/>
      <c r="C115" s="37"/>
      <c r="D115" s="37"/>
      <c r="E115" s="37"/>
      <c r="F115" s="37"/>
      <c r="G115" s="37"/>
      <c r="H115" s="37"/>
      <c r="I115" s="37"/>
      <c r="J115" s="38"/>
    </row>
    <row r="116" ht="15.75" customHeight="1">
      <c r="A116" s="39" t="s">
        <v>192</v>
      </c>
      <c r="B116" s="39" t="s">
        <v>193</v>
      </c>
      <c r="C116" s="39" t="s">
        <v>665</v>
      </c>
      <c r="D116" s="39" t="s">
        <v>195</v>
      </c>
      <c r="E116" s="39" t="s">
        <v>666</v>
      </c>
      <c r="F116" s="39" t="s">
        <v>99</v>
      </c>
      <c r="G116" s="39" t="s">
        <v>667</v>
      </c>
      <c r="H116" s="39" t="s">
        <v>135</v>
      </c>
      <c r="I116" s="39" t="s">
        <v>668</v>
      </c>
      <c r="J116" s="39" t="s">
        <v>669</v>
      </c>
    </row>
    <row r="117" ht="15.75" customHeight="1">
      <c r="A117" s="41" t="s">
        <v>201</v>
      </c>
      <c r="B117" s="41" t="s">
        <v>286</v>
      </c>
      <c r="C117" s="93"/>
      <c r="D117" s="93"/>
      <c r="E117" s="93"/>
      <c r="F117" s="93"/>
      <c r="G117" s="93"/>
      <c r="H117" s="93"/>
      <c r="I117" s="93"/>
      <c r="J117" s="93"/>
    </row>
    <row r="118" ht="15.75" customHeight="1">
      <c r="A118" s="41" t="s">
        <v>203</v>
      </c>
      <c r="B118" s="41" t="s">
        <v>287</v>
      </c>
      <c r="C118" s="93"/>
      <c r="D118" s="93"/>
      <c r="E118" s="93"/>
      <c r="F118" s="93"/>
      <c r="G118" s="93"/>
      <c r="H118" s="93"/>
      <c r="I118" s="93"/>
      <c r="J118" s="93"/>
    </row>
    <row r="119" ht="15.75" customHeight="1">
      <c r="A119" s="41" t="s">
        <v>204</v>
      </c>
      <c r="B119" s="41" t="s">
        <v>288</v>
      </c>
      <c r="C119" s="93"/>
      <c r="D119" s="93"/>
      <c r="E119" s="93"/>
      <c r="F119" s="93"/>
      <c r="G119" s="93"/>
      <c r="H119" s="93"/>
      <c r="I119" s="93"/>
      <c r="J119" s="93"/>
    </row>
    <row r="120" ht="15.75" customHeight="1">
      <c r="A120" s="41" t="s">
        <v>205</v>
      </c>
      <c r="B120" s="41" t="s">
        <v>289</v>
      </c>
      <c r="C120" s="93"/>
      <c r="D120" s="93"/>
      <c r="E120" s="93"/>
      <c r="F120" s="93"/>
      <c r="G120" s="93"/>
      <c r="H120" s="93"/>
      <c r="I120" s="93"/>
      <c r="J120" s="93"/>
    </row>
    <row r="121" ht="15.75" customHeight="1">
      <c r="A121" s="41" t="s">
        <v>206</v>
      </c>
      <c r="B121" s="41" t="s">
        <v>290</v>
      </c>
      <c r="C121" s="93"/>
      <c r="D121" s="93"/>
      <c r="E121" s="93"/>
      <c r="F121" s="93"/>
      <c r="G121" s="93"/>
      <c r="H121" s="93"/>
      <c r="I121" s="93"/>
      <c r="J121" s="93"/>
    </row>
    <row r="122" ht="15.75" customHeight="1">
      <c r="A122" s="89" t="s">
        <v>207</v>
      </c>
      <c r="B122" s="89" t="s">
        <v>291</v>
      </c>
      <c r="C122" s="90"/>
      <c r="D122" s="90"/>
      <c r="E122" s="90"/>
      <c r="F122" s="90"/>
      <c r="G122" s="90"/>
      <c r="H122" s="90"/>
      <c r="I122" s="90"/>
      <c r="J122" s="90"/>
    </row>
    <row r="123" ht="15.75" customHeight="1">
      <c r="A123" s="89" t="s">
        <v>209</v>
      </c>
      <c r="B123" s="89" t="s">
        <v>292</v>
      </c>
      <c r="C123" s="90"/>
      <c r="D123" s="90"/>
      <c r="E123" s="90"/>
      <c r="F123" s="90"/>
      <c r="G123" s="90"/>
      <c r="H123" s="90"/>
      <c r="I123" s="90"/>
      <c r="J123" s="90"/>
    </row>
    <row r="124" ht="15.75" customHeight="1">
      <c r="A124" s="91" t="s">
        <v>211</v>
      </c>
      <c r="B124" s="92"/>
      <c r="C124" s="92"/>
      <c r="D124" s="92">
        <f t="shared" ref="D124:J124" si="11">SUM(D117:D123)</f>
        <v>0</v>
      </c>
      <c r="E124" s="92">
        <f t="shared" si="11"/>
        <v>0</v>
      </c>
      <c r="F124" s="92">
        <f t="shared" si="11"/>
        <v>0</v>
      </c>
      <c r="G124" s="92">
        <f t="shared" si="11"/>
        <v>0</v>
      </c>
      <c r="H124" s="92">
        <f t="shared" si="11"/>
        <v>0</v>
      </c>
      <c r="I124" s="92">
        <f t="shared" si="11"/>
        <v>0</v>
      </c>
      <c r="J124" s="92">
        <f t="shared" si="11"/>
        <v>0</v>
      </c>
    </row>
    <row r="125" ht="15.75" customHeight="1"/>
    <row r="126" ht="15.75" customHeight="1">
      <c r="A126" s="87" t="s">
        <v>293</v>
      </c>
      <c r="B126" s="37"/>
      <c r="C126" s="37"/>
      <c r="D126" s="37"/>
      <c r="E126" s="37"/>
      <c r="F126" s="37"/>
      <c r="G126" s="37"/>
      <c r="H126" s="37"/>
      <c r="I126" s="37"/>
      <c r="J126" s="38"/>
    </row>
    <row r="127" ht="15.75" customHeight="1">
      <c r="A127" s="39" t="s">
        <v>192</v>
      </c>
      <c r="B127" s="39" t="s">
        <v>193</v>
      </c>
      <c r="C127" s="39" t="s">
        <v>665</v>
      </c>
      <c r="D127" s="39" t="s">
        <v>195</v>
      </c>
      <c r="E127" s="39" t="s">
        <v>666</v>
      </c>
      <c r="F127" s="39" t="s">
        <v>99</v>
      </c>
      <c r="G127" s="39" t="s">
        <v>667</v>
      </c>
      <c r="H127" s="39" t="s">
        <v>135</v>
      </c>
      <c r="I127" s="39" t="s">
        <v>668</v>
      </c>
      <c r="J127" s="39" t="s">
        <v>669</v>
      </c>
    </row>
    <row r="128" ht="15.75" customHeight="1">
      <c r="A128" s="41" t="s">
        <v>201</v>
      </c>
      <c r="B128" s="41" t="s">
        <v>294</v>
      </c>
      <c r="C128" s="93"/>
      <c r="D128" s="93"/>
      <c r="E128" s="93"/>
      <c r="F128" s="93"/>
      <c r="G128" s="93"/>
      <c r="H128" s="93"/>
      <c r="I128" s="93"/>
      <c r="J128" s="93"/>
    </row>
    <row r="129" ht="15.75" customHeight="1">
      <c r="A129" s="41" t="s">
        <v>203</v>
      </c>
      <c r="B129" s="41" t="s">
        <v>295</v>
      </c>
      <c r="C129" s="93"/>
      <c r="D129" s="93"/>
      <c r="E129" s="93"/>
      <c r="F129" s="93"/>
      <c r="G129" s="93"/>
      <c r="H129" s="93"/>
      <c r="I129" s="93"/>
      <c r="J129" s="93"/>
    </row>
    <row r="130" ht="15.75" customHeight="1">
      <c r="A130" s="41" t="s">
        <v>204</v>
      </c>
      <c r="B130" s="41" t="s">
        <v>296</v>
      </c>
      <c r="C130" s="93"/>
      <c r="D130" s="93"/>
      <c r="E130" s="93"/>
      <c r="F130" s="93"/>
      <c r="G130" s="93"/>
      <c r="H130" s="93"/>
      <c r="I130" s="93"/>
      <c r="J130" s="93"/>
    </row>
    <row r="131" ht="15.75" customHeight="1">
      <c r="A131" s="41" t="s">
        <v>205</v>
      </c>
      <c r="B131" s="41" t="s">
        <v>297</v>
      </c>
      <c r="C131" s="93"/>
      <c r="D131" s="93"/>
      <c r="E131" s="93"/>
      <c r="F131" s="93"/>
      <c r="G131" s="93"/>
      <c r="H131" s="93"/>
      <c r="I131" s="93"/>
      <c r="J131" s="93"/>
    </row>
    <row r="132" ht="15.75" customHeight="1">
      <c r="A132" s="41" t="s">
        <v>206</v>
      </c>
      <c r="B132" s="41" t="s">
        <v>298</v>
      </c>
      <c r="C132" s="93"/>
      <c r="D132" s="93"/>
      <c r="E132" s="93"/>
      <c r="F132" s="93"/>
      <c r="G132" s="93"/>
      <c r="H132" s="93"/>
      <c r="I132" s="93"/>
      <c r="J132" s="93"/>
    </row>
    <row r="133" ht="15.75" customHeight="1">
      <c r="A133" s="89" t="s">
        <v>207</v>
      </c>
      <c r="B133" s="89" t="s">
        <v>299</v>
      </c>
      <c r="C133" s="90"/>
      <c r="D133" s="90"/>
      <c r="E133" s="90"/>
      <c r="F133" s="90"/>
      <c r="G133" s="90"/>
      <c r="H133" s="90"/>
      <c r="I133" s="90"/>
      <c r="J133" s="90"/>
    </row>
    <row r="134" ht="15.75" customHeight="1">
      <c r="A134" s="89" t="s">
        <v>209</v>
      </c>
      <c r="B134" s="89" t="s">
        <v>300</v>
      </c>
      <c r="C134" s="90"/>
      <c r="D134" s="90"/>
      <c r="E134" s="90"/>
      <c r="F134" s="90"/>
      <c r="G134" s="90"/>
      <c r="H134" s="90"/>
      <c r="I134" s="90"/>
      <c r="J134" s="90"/>
    </row>
    <row r="135" ht="15.75" customHeight="1">
      <c r="A135" s="91" t="s">
        <v>211</v>
      </c>
      <c r="B135" s="92"/>
      <c r="C135" s="92"/>
      <c r="D135" s="92">
        <f t="shared" ref="D135:J135" si="12">SUM(D128:D134)</f>
        <v>0</v>
      </c>
      <c r="E135" s="92">
        <f t="shared" si="12"/>
        <v>0</v>
      </c>
      <c r="F135" s="92">
        <f t="shared" si="12"/>
        <v>0</v>
      </c>
      <c r="G135" s="92">
        <f t="shared" si="12"/>
        <v>0</v>
      </c>
      <c r="H135" s="92">
        <f t="shared" si="12"/>
        <v>0</v>
      </c>
      <c r="I135" s="92">
        <f t="shared" si="12"/>
        <v>0</v>
      </c>
      <c r="J135" s="92">
        <f t="shared" si="12"/>
        <v>0</v>
      </c>
    </row>
    <row r="136" ht="15.75" customHeight="1"/>
    <row r="137" ht="15.75" customHeight="1">
      <c r="A137" s="87" t="s">
        <v>301</v>
      </c>
      <c r="B137" s="37"/>
      <c r="C137" s="37"/>
      <c r="D137" s="37"/>
      <c r="E137" s="37"/>
      <c r="F137" s="37"/>
      <c r="G137" s="37"/>
      <c r="H137" s="37"/>
      <c r="I137" s="37"/>
      <c r="J137" s="38"/>
    </row>
    <row r="138" ht="15.75" customHeight="1">
      <c r="A138" s="39" t="s">
        <v>192</v>
      </c>
      <c r="B138" s="39" t="s">
        <v>193</v>
      </c>
      <c r="C138" s="39" t="s">
        <v>665</v>
      </c>
      <c r="D138" s="39" t="s">
        <v>195</v>
      </c>
      <c r="E138" s="39" t="s">
        <v>666</v>
      </c>
      <c r="F138" s="39" t="s">
        <v>99</v>
      </c>
      <c r="G138" s="39" t="s">
        <v>667</v>
      </c>
      <c r="H138" s="39" t="s">
        <v>135</v>
      </c>
      <c r="I138" s="39" t="s">
        <v>668</v>
      </c>
      <c r="J138" s="39" t="s">
        <v>669</v>
      </c>
    </row>
    <row r="139" ht="15.75" customHeight="1">
      <c r="A139" s="41" t="s">
        <v>201</v>
      </c>
      <c r="B139" s="41" t="s">
        <v>302</v>
      </c>
      <c r="C139" s="93"/>
      <c r="D139" s="93"/>
      <c r="E139" s="93"/>
      <c r="F139" s="93"/>
      <c r="G139" s="93"/>
      <c r="H139" s="93"/>
      <c r="I139" s="93"/>
      <c r="J139" s="93"/>
    </row>
    <row r="140" ht="15.75" customHeight="1">
      <c r="A140" s="41" t="s">
        <v>203</v>
      </c>
      <c r="B140" s="41" t="s">
        <v>303</v>
      </c>
      <c r="C140" s="93"/>
      <c r="D140" s="93"/>
      <c r="E140" s="93"/>
      <c r="F140" s="93"/>
      <c r="G140" s="93"/>
      <c r="H140" s="93"/>
      <c r="I140" s="93"/>
      <c r="J140" s="93"/>
    </row>
    <row r="141" ht="15.75" customHeight="1">
      <c r="A141" s="41" t="s">
        <v>204</v>
      </c>
      <c r="B141" s="41" t="s">
        <v>304</v>
      </c>
      <c r="C141" s="93"/>
      <c r="D141" s="93"/>
      <c r="E141" s="93"/>
      <c r="F141" s="93"/>
      <c r="G141" s="93"/>
      <c r="H141" s="93"/>
      <c r="I141" s="93"/>
      <c r="J141" s="93"/>
    </row>
    <row r="142" ht="15.75" customHeight="1">
      <c r="A142" s="41" t="s">
        <v>205</v>
      </c>
      <c r="B142" s="41" t="s">
        <v>305</v>
      </c>
      <c r="C142" s="93"/>
      <c r="D142" s="93"/>
      <c r="E142" s="93"/>
      <c r="F142" s="93"/>
      <c r="G142" s="93"/>
      <c r="H142" s="93"/>
      <c r="I142" s="93"/>
      <c r="J142" s="93"/>
    </row>
    <row r="143" ht="15.75" customHeight="1">
      <c r="A143" s="41" t="s">
        <v>206</v>
      </c>
      <c r="B143" s="41" t="s">
        <v>306</v>
      </c>
      <c r="C143" s="93"/>
      <c r="D143" s="93"/>
      <c r="E143" s="93"/>
      <c r="F143" s="93"/>
      <c r="G143" s="93"/>
      <c r="H143" s="93"/>
      <c r="I143" s="93"/>
      <c r="J143" s="93"/>
    </row>
    <row r="144" ht="15.75" customHeight="1">
      <c r="A144" s="89" t="s">
        <v>207</v>
      </c>
      <c r="B144" s="89" t="s">
        <v>307</v>
      </c>
      <c r="C144" s="90"/>
      <c r="D144" s="90"/>
      <c r="E144" s="90"/>
      <c r="F144" s="90"/>
      <c r="G144" s="90"/>
      <c r="H144" s="90"/>
      <c r="I144" s="90"/>
      <c r="J144" s="90"/>
    </row>
    <row r="145" ht="15.75" customHeight="1">
      <c r="A145" s="89" t="s">
        <v>209</v>
      </c>
      <c r="B145" s="89" t="s">
        <v>308</v>
      </c>
      <c r="C145" s="90"/>
      <c r="D145" s="90"/>
      <c r="E145" s="90"/>
      <c r="F145" s="90"/>
      <c r="G145" s="90"/>
      <c r="H145" s="90"/>
      <c r="I145" s="90"/>
      <c r="J145" s="90"/>
    </row>
    <row r="146" ht="15.75" customHeight="1">
      <c r="A146" s="91" t="s">
        <v>211</v>
      </c>
      <c r="B146" s="92"/>
      <c r="C146" s="92"/>
      <c r="D146" s="92">
        <f t="shared" ref="D146:J146" si="13">SUM(D139:D145)</f>
        <v>0</v>
      </c>
      <c r="E146" s="92">
        <f t="shared" si="13"/>
        <v>0</v>
      </c>
      <c r="F146" s="92">
        <f t="shared" si="13"/>
        <v>0</v>
      </c>
      <c r="G146" s="92">
        <f t="shared" si="13"/>
        <v>0</v>
      </c>
      <c r="H146" s="92">
        <f t="shared" si="13"/>
        <v>0</v>
      </c>
      <c r="I146" s="92">
        <f t="shared" si="13"/>
        <v>0</v>
      </c>
      <c r="J146" s="92">
        <f t="shared" si="13"/>
        <v>0</v>
      </c>
    </row>
    <row r="147" ht="15.75" customHeight="1"/>
    <row r="148" ht="15.75" customHeight="1">
      <c r="A148" s="87" t="s">
        <v>309</v>
      </c>
      <c r="B148" s="37"/>
      <c r="C148" s="37"/>
      <c r="D148" s="37"/>
      <c r="E148" s="37"/>
      <c r="F148" s="37"/>
      <c r="G148" s="37"/>
      <c r="H148" s="37"/>
      <c r="I148" s="37"/>
      <c r="J148" s="38"/>
    </row>
    <row r="149" ht="15.75" customHeight="1">
      <c r="A149" s="39" t="s">
        <v>192</v>
      </c>
      <c r="B149" s="39" t="s">
        <v>193</v>
      </c>
      <c r="C149" s="39" t="s">
        <v>665</v>
      </c>
      <c r="D149" s="39" t="s">
        <v>195</v>
      </c>
      <c r="E149" s="39" t="s">
        <v>666</v>
      </c>
      <c r="F149" s="39" t="s">
        <v>99</v>
      </c>
      <c r="G149" s="39" t="s">
        <v>667</v>
      </c>
      <c r="H149" s="39" t="s">
        <v>135</v>
      </c>
      <c r="I149" s="39" t="s">
        <v>668</v>
      </c>
      <c r="J149" s="39" t="s">
        <v>669</v>
      </c>
    </row>
    <row r="150" ht="15.75" customHeight="1">
      <c r="A150" s="41" t="s">
        <v>201</v>
      </c>
      <c r="B150" s="41" t="s">
        <v>310</v>
      </c>
      <c r="C150" s="93"/>
      <c r="D150" s="93"/>
      <c r="E150" s="93"/>
      <c r="F150" s="93"/>
      <c r="G150" s="93"/>
      <c r="H150" s="93"/>
      <c r="I150" s="93"/>
      <c r="J150" s="93"/>
    </row>
    <row r="151" ht="15.75" customHeight="1">
      <c r="A151" s="41" t="s">
        <v>203</v>
      </c>
      <c r="B151" s="41" t="s">
        <v>311</v>
      </c>
      <c r="C151" s="93"/>
      <c r="D151" s="93"/>
      <c r="E151" s="93"/>
      <c r="F151" s="93"/>
      <c r="G151" s="93"/>
      <c r="H151" s="93"/>
      <c r="I151" s="93"/>
      <c r="J151" s="93"/>
    </row>
    <row r="152" ht="15.75" customHeight="1">
      <c r="A152" s="41" t="s">
        <v>204</v>
      </c>
      <c r="B152" s="41" t="s">
        <v>312</v>
      </c>
      <c r="C152" s="93"/>
      <c r="D152" s="93"/>
      <c r="E152" s="93"/>
      <c r="F152" s="93"/>
      <c r="G152" s="93"/>
      <c r="H152" s="93"/>
      <c r="I152" s="93"/>
      <c r="J152" s="93"/>
    </row>
    <row r="153" ht="15.75" customHeight="1">
      <c r="A153" s="41" t="s">
        <v>205</v>
      </c>
      <c r="B153" s="41" t="s">
        <v>313</v>
      </c>
      <c r="C153" s="93"/>
      <c r="D153" s="93"/>
      <c r="E153" s="93"/>
      <c r="F153" s="93"/>
      <c r="G153" s="93"/>
      <c r="H153" s="93"/>
      <c r="I153" s="93"/>
      <c r="J153" s="93"/>
    </row>
    <row r="154" ht="15.75" customHeight="1">
      <c r="A154" s="41" t="s">
        <v>206</v>
      </c>
      <c r="B154" s="41" t="s">
        <v>314</v>
      </c>
      <c r="C154" s="93"/>
      <c r="D154" s="93"/>
      <c r="E154" s="93"/>
      <c r="F154" s="93"/>
      <c r="G154" s="93"/>
      <c r="H154" s="93"/>
      <c r="I154" s="93"/>
      <c r="J154" s="93"/>
    </row>
    <row r="155" ht="15.75" customHeight="1">
      <c r="A155" s="89" t="s">
        <v>207</v>
      </c>
      <c r="B155" s="89" t="s">
        <v>315</v>
      </c>
      <c r="C155" s="90"/>
      <c r="D155" s="90"/>
      <c r="E155" s="90"/>
      <c r="F155" s="90"/>
      <c r="G155" s="90"/>
      <c r="H155" s="90"/>
      <c r="I155" s="90"/>
      <c r="J155" s="90"/>
    </row>
    <row r="156" ht="15.75" customHeight="1">
      <c r="A156" s="89" t="s">
        <v>209</v>
      </c>
      <c r="B156" s="89" t="s">
        <v>316</v>
      </c>
      <c r="C156" s="90"/>
      <c r="D156" s="90"/>
      <c r="E156" s="90"/>
      <c r="F156" s="90"/>
      <c r="G156" s="90"/>
      <c r="H156" s="90"/>
      <c r="I156" s="90"/>
      <c r="J156" s="90"/>
    </row>
    <row r="157" ht="15.75" customHeight="1">
      <c r="A157" s="91" t="s">
        <v>211</v>
      </c>
      <c r="B157" s="92"/>
      <c r="C157" s="92"/>
      <c r="D157" s="92">
        <f t="shared" ref="D157:J157" si="14">SUM(D150:D156)</f>
        <v>0</v>
      </c>
      <c r="E157" s="92">
        <f t="shared" si="14"/>
        <v>0</v>
      </c>
      <c r="F157" s="92">
        <f t="shared" si="14"/>
        <v>0</v>
      </c>
      <c r="G157" s="92">
        <f t="shared" si="14"/>
        <v>0</v>
      </c>
      <c r="H157" s="92">
        <f t="shared" si="14"/>
        <v>0</v>
      </c>
      <c r="I157" s="92">
        <f t="shared" si="14"/>
        <v>0</v>
      </c>
      <c r="J157" s="92">
        <f t="shared" si="14"/>
        <v>0</v>
      </c>
    </row>
    <row r="158" ht="15.75" customHeight="1"/>
    <row r="159" ht="15.75" customHeight="1">
      <c r="A159" s="87" t="s">
        <v>317</v>
      </c>
      <c r="B159" s="37"/>
      <c r="C159" s="37"/>
      <c r="D159" s="37"/>
      <c r="E159" s="37"/>
      <c r="F159" s="37"/>
      <c r="G159" s="37"/>
      <c r="H159" s="37"/>
      <c r="I159" s="37"/>
      <c r="J159" s="38"/>
    </row>
    <row r="160" ht="15.75" customHeight="1">
      <c r="A160" s="39" t="s">
        <v>192</v>
      </c>
      <c r="B160" s="39" t="s">
        <v>193</v>
      </c>
      <c r="C160" s="39" t="s">
        <v>665</v>
      </c>
      <c r="D160" s="39" t="s">
        <v>195</v>
      </c>
      <c r="E160" s="39" t="s">
        <v>666</v>
      </c>
      <c r="F160" s="39" t="s">
        <v>99</v>
      </c>
      <c r="G160" s="39" t="s">
        <v>667</v>
      </c>
      <c r="H160" s="39" t="s">
        <v>135</v>
      </c>
      <c r="I160" s="39" t="s">
        <v>668</v>
      </c>
      <c r="J160" s="39" t="s">
        <v>669</v>
      </c>
    </row>
    <row r="161" ht="15.75" customHeight="1">
      <c r="A161" s="41" t="s">
        <v>201</v>
      </c>
      <c r="B161" s="41" t="s">
        <v>318</v>
      </c>
      <c r="C161" s="93"/>
      <c r="D161" s="93"/>
      <c r="E161" s="93"/>
      <c r="F161" s="93"/>
      <c r="G161" s="93"/>
      <c r="H161" s="93"/>
      <c r="I161" s="93"/>
      <c r="J161" s="93"/>
    </row>
    <row r="162" ht="15.75" customHeight="1">
      <c r="A162" s="41" t="s">
        <v>203</v>
      </c>
      <c r="B162" s="41" t="s">
        <v>319</v>
      </c>
      <c r="C162" s="93"/>
      <c r="D162" s="93"/>
      <c r="E162" s="93"/>
      <c r="F162" s="93"/>
      <c r="G162" s="93"/>
      <c r="H162" s="93"/>
      <c r="I162" s="93"/>
      <c r="J162" s="93"/>
    </row>
    <row r="163" ht="15.75" customHeight="1">
      <c r="A163" s="41" t="s">
        <v>204</v>
      </c>
      <c r="B163" s="41" t="s">
        <v>320</v>
      </c>
      <c r="C163" s="93"/>
      <c r="D163" s="93"/>
      <c r="E163" s="93"/>
      <c r="F163" s="93"/>
      <c r="G163" s="93"/>
      <c r="H163" s="93"/>
      <c r="I163" s="93"/>
      <c r="J163" s="93"/>
    </row>
    <row r="164" ht="15.75" customHeight="1">
      <c r="A164" s="41" t="s">
        <v>205</v>
      </c>
      <c r="B164" s="41" t="s">
        <v>321</v>
      </c>
      <c r="C164" s="93"/>
      <c r="D164" s="93"/>
      <c r="E164" s="93"/>
      <c r="F164" s="93"/>
      <c r="G164" s="93"/>
      <c r="H164" s="93"/>
      <c r="I164" s="93"/>
      <c r="J164" s="93"/>
    </row>
    <row r="165" ht="15.75" customHeight="1">
      <c r="A165" s="41" t="s">
        <v>206</v>
      </c>
      <c r="B165" s="41" t="s">
        <v>322</v>
      </c>
      <c r="C165" s="93"/>
      <c r="D165" s="93"/>
      <c r="E165" s="93"/>
      <c r="F165" s="93"/>
      <c r="G165" s="93"/>
      <c r="H165" s="93"/>
      <c r="I165" s="93"/>
      <c r="J165" s="93"/>
    </row>
    <row r="166" ht="15.75" customHeight="1">
      <c r="A166" s="89" t="s">
        <v>207</v>
      </c>
      <c r="B166" s="89" t="s">
        <v>323</v>
      </c>
      <c r="C166" s="90"/>
      <c r="D166" s="90"/>
      <c r="E166" s="90"/>
      <c r="F166" s="90"/>
      <c r="G166" s="90"/>
      <c r="H166" s="90"/>
      <c r="I166" s="90"/>
      <c r="J166" s="90"/>
    </row>
    <row r="167" ht="15.75" customHeight="1">
      <c r="A167" s="89" t="s">
        <v>209</v>
      </c>
      <c r="B167" s="89" t="s">
        <v>324</v>
      </c>
      <c r="C167" s="90"/>
      <c r="D167" s="90"/>
      <c r="E167" s="90"/>
      <c r="F167" s="90"/>
      <c r="G167" s="90"/>
      <c r="H167" s="90"/>
      <c r="I167" s="90"/>
      <c r="J167" s="90"/>
    </row>
    <row r="168" ht="15.75" customHeight="1">
      <c r="A168" s="91" t="s">
        <v>211</v>
      </c>
      <c r="B168" s="92"/>
      <c r="C168" s="92"/>
      <c r="D168" s="92">
        <f t="shared" ref="D168:J168" si="15">SUM(D161:D167)</f>
        <v>0</v>
      </c>
      <c r="E168" s="92">
        <f t="shared" si="15"/>
        <v>0</v>
      </c>
      <c r="F168" s="92">
        <f t="shared" si="15"/>
        <v>0</v>
      </c>
      <c r="G168" s="92">
        <f t="shared" si="15"/>
        <v>0</v>
      </c>
      <c r="H168" s="92">
        <f t="shared" si="15"/>
        <v>0</v>
      </c>
      <c r="I168" s="92">
        <f t="shared" si="15"/>
        <v>0</v>
      </c>
      <c r="J168" s="92">
        <f t="shared" si="15"/>
        <v>0</v>
      </c>
    </row>
    <row r="169" ht="15.75" customHeight="1"/>
    <row r="170" ht="15.75" customHeight="1">
      <c r="A170" s="87" t="s">
        <v>325</v>
      </c>
      <c r="B170" s="37"/>
      <c r="C170" s="37"/>
      <c r="D170" s="37"/>
      <c r="E170" s="37"/>
      <c r="F170" s="37"/>
      <c r="G170" s="37"/>
      <c r="H170" s="37"/>
      <c r="I170" s="37"/>
      <c r="J170" s="38"/>
    </row>
    <row r="171" ht="15.75" customHeight="1">
      <c r="A171" s="39" t="s">
        <v>192</v>
      </c>
      <c r="B171" s="39" t="s">
        <v>193</v>
      </c>
      <c r="C171" s="39" t="s">
        <v>665</v>
      </c>
      <c r="D171" s="39" t="s">
        <v>195</v>
      </c>
      <c r="E171" s="39" t="s">
        <v>666</v>
      </c>
      <c r="F171" s="39" t="s">
        <v>99</v>
      </c>
      <c r="G171" s="39" t="s">
        <v>667</v>
      </c>
      <c r="H171" s="39" t="s">
        <v>135</v>
      </c>
      <c r="I171" s="39" t="s">
        <v>668</v>
      </c>
      <c r="J171" s="39" t="s">
        <v>669</v>
      </c>
    </row>
    <row r="172" ht="15.75" customHeight="1">
      <c r="A172" s="41" t="s">
        <v>201</v>
      </c>
      <c r="B172" s="41" t="s">
        <v>326</v>
      </c>
      <c r="C172" s="93"/>
      <c r="D172" s="93"/>
      <c r="E172" s="93"/>
      <c r="F172" s="93"/>
      <c r="G172" s="93"/>
      <c r="H172" s="93"/>
      <c r="I172" s="93"/>
      <c r="J172" s="93"/>
    </row>
    <row r="173" ht="15.75" customHeight="1">
      <c r="A173" s="41" t="s">
        <v>203</v>
      </c>
      <c r="B173" s="41" t="s">
        <v>327</v>
      </c>
      <c r="C173" s="93"/>
      <c r="D173" s="93"/>
      <c r="E173" s="93"/>
      <c r="F173" s="93"/>
      <c r="G173" s="93"/>
      <c r="H173" s="93"/>
      <c r="I173" s="93"/>
      <c r="J173" s="93"/>
    </row>
    <row r="174" ht="15.75" customHeight="1">
      <c r="A174" s="41" t="s">
        <v>204</v>
      </c>
      <c r="B174" s="41" t="s">
        <v>328</v>
      </c>
      <c r="C174" s="93"/>
      <c r="D174" s="93"/>
      <c r="E174" s="93"/>
      <c r="F174" s="93"/>
      <c r="G174" s="93"/>
      <c r="H174" s="93"/>
      <c r="I174" s="93"/>
      <c r="J174" s="93"/>
    </row>
    <row r="175" ht="15.75" customHeight="1">
      <c r="A175" s="41" t="s">
        <v>205</v>
      </c>
      <c r="B175" s="41" t="s">
        <v>329</v>
      </c>
      <c r="C175" s="93"/>
      <c r="D175" s="93"/>
      <c r="E175" s="93"/>
      <c r="F175" s="93"/>
      <c r="G175" s="93"/>
      <c r="H175" s="93"/>
      <c r="I175" s="93"/>
      <c r="J175" s="93"/>
    </row>
    <row r="176" ht="15.75" customHeight="1">
      <c r="A176" s="41" t="s">
        <v>206</v>
      </c>
      <c r="B176" s="41" t="s">
        <v>330</v>
      </c>
      <c r="C176" s="93"/>
      <c r="D176" s="93"/>
      <c r="E176" s="93"/>
      <c r="F176" s="93"/>
      <c r="G176" s="93"/>
      <c r="H176" s="93"/>
      <c r="I176" s="93"/>
      <c r="J176" s="93"/>
    </row>
    <row r="177" ht="15.75" customHeight="1">
      <c r="A177" s="89" t="s">
        <v>207</v>
      </c>
      <c r="B177" s="89" t="s">
        <v>331</v>
      </c>
      <c r="C177" s="90"/>
      <c r="D177" s="90"/>
      <c r="E177" s="90"/>
      <c r="F177" s="90"/>
      <c r="G177" s="90"/>
      <c r="H177" s="90"/>
      <c r="I177" s="90"/>
      <c r="J177" s="90"/>
    </row>
    <row r="178" ht="15.75" customHeight="1">
      <c r="A178" s="89" t="s">
        <v>209</v>
      </c>
      <c r="B178" s="89" t="s">
        <v>332</v>
      </c>
      <c r="C178" s="90"/>
      <c r="D178" s="90"/>
      <c r="E178" s="90"/>
      <c r="F178" s="90"/>
      <c r="G178" s="90"/>
      <c r="H178" s="90"/>
      <c r="I178" s="90"/>
      <c r="J178" s="90"/>
    </row>
    <row r="179" ht="15.75" customHeight="1">
      <c r="A179" s="91" t="s">
        <v>211</v>
      </c>
      <c r="B179" s="92"/>
      <c r="C179" s="92"/>
      <c r="D179" s="92">
        <f t="shared" ref="D179:J179" si="16">SUM(D172:D178)</f>
        <v>0</v>
      </c>
      <c r="E179" s="92">
        <f t="shared" si="16"/>
        <v>0</v>
      </c>
      <c r="F179" s="92">
        <f t="shared" si="16"/>
        <v>0</v>
      </c>
      <c r="G179" s="92">
        <f t="shared" si="16"/>
        <v>0</v>
      </c>
      <c r="H179" s="92">
        <f t="shared" si="16"/>
        <v>0</v>
      </c>
      <c r="I179" s="92">
        <f t="shared" si="16"/>
        <v>0</v>
      </c>
      <c r="J179" s="92">
        <f t="shared" si="16"/>
        <v>0</v>
      </c>
    </row>
    <row r="180" ht="15.75" customHeight="1"/>
    <row r="181" ht="15.75" customHeight="1">
      <c r="A181" s="87" t="s">
        <v>333</v>
      </c>
      <c r="B181" s="37"/>
      <c r="C181" s="37"/>
      <c r="D181" s="37"/>
      <c r="E181" s="37"/>
      <c r="F181" s="37"/>
      <c r="G181" s="37"/>
      <c r="H181" s="37"/>
      <c r="I181" s="37"/>
      <c r="J181" s="38"/>
    </row>
    <row r="182" ht="15.75" customHeight="1">
      <c r="A182" s="39" t="s">
        <v>192</v>
      </c>
      <c r="B182" s="39" t="s">
        <v>193</v>
      </c>
      <c r="C182" s="39" t="s">
        <v>665</v>
      </c>
      <c r="D182" s="39" t="s">
        <v>195</v>
      </c>
      <c r="E182" s="39" t="s">
        <v>666</v>
      </c>
      <c r="F182" s="39" t="s">
        <v>99</v>
      </c>
      <c r="G182" s="39" t="s">
        <v>667</v>
      </c>
      <c r="H182" s="39" t="s">
        <v>135</v>
      </c>
      <c r="I182" s="39" t="s">
        <v>668</v>
      </c>
      <c r="J182" s="39" t="s">
        <v>669</v>
      </c>
    </row>
    <row r="183" ht="15.75" customHeight="1">
      <c r="A183" s="41" t="s">
        <v>201</v>
      </c>
      <c r="B183" s="41" t="s">
        <v>334</v>
      </c>
      <c r="C183" s="93"/>
      <c r="D183" s="93"/>
      <c r="E183" s="93"/>
      <c r="F183" s="93"/>
      <c r="G183" s="93"/>
      <c r="H183" s="93"/>
      <c r="I183" s="93"/>
      <c r="J183" s="93"/>
    </row>
    <row r="184" ht="15.75" customHeight="1">
      <c r="A184" s="41" t="s">
        <v>203</v>
      </c>
      <c r="B184" s="41" t="s">
        <v>335</v>
      </c>
      <c r="C184" s="93"/>
      <c r="D184" s="93"/>
      <c r="E184" s="93"/>
      <c r="F184" s="93"/>
      <c r="G184" s="93"/>
      <c r="H184" s="93"/>
      <c r="I184" s="93"/>
      <c r="J184" s="93"/>
    </row>
    <row r="185" ht="15.75" customHeight="1">
      <c r="A185" s="41" t="s">
        <v>204</v>
      </c>
      <c r="B185" s="41" t="s">
        <v>336</v>
      </c>
      <c r="C185" s="93"/>
      <c r="D185" s="93"/>
      <c r="E185" s="93"/>
      <c r="F185" s="93"/>
      <c r="G185" s="93"/>
      <c r="H185" s="93"/>
      <c r="I185" s="93"/>
      <c r="J185" s="93"/>
    </row>
    <row r="186" ht="15.75" customHeight="1">
      <c r="A186" s="41" t="s">
        <v>205</v>
      </c>
      <c r="B186" s="41" t="s">
        <v>337</v>
      </c>
      <c r="C186" s="93"/>
      <c r="D186" s="93"/>
      <c r="E186" s="93"/>
      <c r="F186" s="93"/>
      <c r="G186" s="93"/>
      <c r="H186" s="93"/>
      <c r="I186" s="93"/>
      <c r="J186" s="93"/>
    </row>
    <row r="187" ht="15.75" customHeight="1">
      <c r="A187" s="41" t="s">
        <v>206</v>
      </c>
      <c r="B187" s="41" t="s">
        <v>338</v>
      </c>
      <c r="C187" s="93"/>
      <c r="D187" s="93"/>
      <c r="E187" s="93"/>
      <c r="F187" s="93"/>
      <c r="G187" s="93"/>
      <c r="H187" s="93"/>
      <c r="I187" s="93"/>
      <c r="J187" s="93"/>
    </row>
    <row r="188" ht="15.75" customHeight="1">
      <c r="A188" s="89" t="s">
        <v>207</v>
      </c>
      <c r="B188" s="89" t="s">
        <v>339</v>
      </c>
      <c r="C188" s="90"/>
      <c r="D188" s="90"/>
      <c r="E188" s="90"/>
      <c r="F188" s="90"/>
      <c r="G188" s="90"/>
      <c r="H188" s="90"/>
      <c r="I188" s="90"/>
      <c r="J188" s="90"/>
    </row>
    <row r="189" ht="15.75" customHeight="1">
      <c r="A189" s="89" t="s">
        <v>209</v>
      </c>
      <c r="B189" s="89" t="s">
        <v>340</v>
      </c>
      <c r="C189" s="90"/>
      <c r="D189" s="90"/>
      <c r="E189" s="90"/>
      <c r="F189" s="90"/>
      <c r="G189" s="90"/>
      <c r="H189" s="90"/>
      <c r="I189" s="90"/>
      <c r="J189" s="90"/>
    </row>
    <row r="190" ht="15.75" customHeight="1">
      <c r="A190" s="91" t="s">
        <v>211</v>
      </c>
      <c r="B190" s="92"/>
      <c r="C190" s="92"/>
      <c r="D190" s="92">
        <f t="shared" ref="D190:J190" si="17">SUM(D183:D189)</f>
        <v>0</v>
      </c>
      <c r="E190" s="92">
        <f t="shared" si="17"/>
        <v>0</v>
      </c>
      <c r="F190" s="92">
        <f t="shared" si="17"/>
        <v>0</v>
      </c>
      <c r="G190" s="92">
        <f t="shared" si="17"/>
        <v>0</v>
      </c>
      <c r="H190" s="92">
        <f t="shared" si="17"/>
        <v>0</v>
      </c>
      <c r="I190" s="92">
        <f t="shared" si="17"/>
        <v>0</v>
      </c>
      <c r="J190" s="92">
        <f t="shared" si="17"/>
        <v>0</v>
      </c>
    </row>
    <row r="191" ht="15.75" customHeight="1"/>
    <row r="192" ht="15.75" customHeight="1">
      <c r="A192" s="87" t="s">
        <v>341</v>
      </c>
      <c r="B192" s="37"/>
      <c r="C192" s="37"/>
      <c r="D192" s="37"/>
      <c r="E192" s="37"/>
      <c r="F192" s="37"/>
      <c r="G192" s="37"/>
      <c r="H192" s="37"/>
      <c r="I192" s="37"/>
      <c r="J192" s="38"/>
    </row>
    <row r="193" ht="15.75" customHeight="1">
      <c r="A193" s="39" t="s">
        <v>192</v>
      </c>
      <c r="B193" s="39" t="s">
        <v>193</v>
      </c>
      <c r="C193" s="39" t="s">
        <v>665</v>
      </c>
      <c r="D193" s="39" t="s">
        <v>195</v>
      </c>
      <c r="E193" s="39" t="s">
        <v>666</v>
      </c>
      <c r="F193" s="39" t="s">
        <v>99</v>
      </c>
      <c r="G193" s="39" t="s">
        <v>667</v>
      </c>
      <c r="H193" s="39" t="s">
        <v>135</v>
      </c>
      <c r="I193" s="39" t="s">
        <v>668</v>
      </c>
      <c r="J193" s="39" t="s">
        <v>669</v>
      </c>
    </row>
    <row r="194" ht="15.75" customHeight="1">
      <c r="A194" s="41" t="s">
        <v>201</v>
      </c>
      <c r="B194" s="41" t="s">
        <v>342</v>
      </c>
      <c r="C194" s="93"/>
      <c r="D194" s="93"/>
      <c r="E194" s="93"/>
      <c r="F194" s="93"/>
      <c r="G194" s="93"/>
      <c r="H194" s="93"/>
      <c r="I194" s="93"/>
      <c r="J194" s="93"/>
    </row>
    <row r="195" ht="15.75" customHeight="1">
      <c r="A195" s="41" t="s">
        <v>203</v>
      </c>
      <c r="B195" s="41" t="s">
        <v>343</v>
      </c>
      <c r="C195" s="93"/>
      <c r="D195" s="93"/>
      <c r="E195" s="93"/>
      <c r="F195" s="93"/>
      <c r="G195" s="93"/>
      <c r="H195" s="93"/>
      <c r="I195" s="93"/>
      <c r="J195" s="93"/>
    </row>
    <row r="196" ht="15.75" customHeight="1">
      <c r="A196" s="41" t="s">
        <v>204</v>
      </c>
      <c r="B196" s="41" t="s">
        <v>344</v>
      </c>
      <c r="C196" s="93"/>
      <c r="D196" s="93"/>
      <c r="E196" s="93"/>
      <c r="F196" s="93"/>
      <c r="G196" s="93"/>
      <c r="H196" s="93"/>
      <c r="I196" s="93"/>
      <c r="J196" s="93"/>
    </row>
    <row r="197" ht="15.75" customHeight="1">
      <c r="A197" s="41" t="s">
        <v>205</v>
      </c>
      <c r="B197" s="41" t="s">
        <v>345</v>
      </c>
      <c r="C197" s="93"/>
      <c r="D197" s="93"/>
      <c r="E197" s="93"/>
      <c r="F197" s="93"/>
      <c r="G197" s="93"/>
      <c r="H197" s="93"/>
      <c r="I197" s="93"/>
      <c r="J197" s="93"/>
    </row>
    <row r="198" ht="15.75" customHeight="1">
      <c r="A198" s="41" t="s">
        <v>206</v>
      </c>
      <c r="B198" s="41" t="s">
        <v>346</v>
      </c>
      <c r="C198" s="93"/>
      <c r="D198" s="93"/>
      <c r="E198" s="93"/>
      <c r="F198" s="93"/>
      <c r="G198" s="93"/>
      <c r="H198" s="93"/>
      <c r="I198" s="93"/>
      <c r="J198" s="93"/>
    </row>
    <row r="199" ht="15.75" customHeight="1">
      <c r="A199" s="89" t="s">
        <v>207</v>
      </c>
      <c r="B199" s="89" t="s">
        <v>347</v>
      </c>
      <c r="C199" s="90"/>
      <c r="D199" s="90"/>
      <c r="E199" s="90"/>
      <c r="F199" s="90"/>
      <c r="G199" s="90"/>
      <c r="H199" s="90"/>
      <c r="I199" s="90"/>
      <c r="J199" s="90"/>
    </row>
    <row r="200" ht="15.75" customHeight="1">
      <c r="A200" s="89" t="s">
        <v>209</v>
      </c>
      <c r="B200" s="89" t="s">
        <v>348</v>
      </c>
      <c r="C200" s="90"/>
      <c r="D200" s="90"/>
      <c r="E200" s="90"/>
      <c r="F200" s="90"/>
      <c r="G200" s="90"/>
      <c r="H200" s="90"/>
      <c r="I200" s="90"/>
      <c r="J200" s="90"/>
    </row>
    <row r="201" ht="15.75" customHeight="1">
      <c r="A201" s="91" t="s">
        <v>211</v>
      </c>
      <c r="B201" s="92"/>
      <c r="C201" s="92"/>
      <c r="D201" s="92">
        <f t="shared" ref="D201:J201" si="18">SUM(D194:D200)</f>
        <v>0</v>
      </c>
      <c r="E201" s="92">
        <f t="shared" si="18"/>
        <v>0</v>
      </c>
      <c r="F201" s="92">
        <f t="shared" si="18"/>
        <v>0</v>
      </c>
      <c r="G201" s="92">
        <f t="shared" si="18"/>
        <v>0</v>
      </c>
      <c r="H201" s="92">
        <f t="shared" si="18"/>
        <v>0</v>
      </c>
      <c r="I201" s="92">
        <f t="shared" si="18"/>
        <v>0</v>
      </c>
      <c r="J201" s="92">
        <f t="shared" si="18"/>
        <v>0</v>
      </c>
    </row>
    <row r="202" ht="15.75" customHeight="1"/>
    <row r="203" ht="15.75" customHeight="1">
      <c r="A203" s="87" t="s">
        <v>349</v>
      </c>
      <c r="B203" s="37"/>
      <c r="C203" s="37"/>
      <c r="D203" s="37"/>
      <c r="E203" s="37"/>
      <c r="F203" s="37"/>
      <c r="G203" s="37"/>
      <c r="H203" s="37"/>
      <c r="I203" s="37"/>
      <c r="J203" s="38"/>
    </row>
    <row r="204" ht="15.75" customHeight="1">
      <c r="A204" s="39" t="s">
        <v>192</v>
      </c>
      <c r="B204" s="39" t="s">
        <v>193</v>
      </c>
      <c r="C204" s="39" t="s">
        <v>665</v>
      </c>
      <c r="D204" s="39" t="s">
        <v>195</v>
      </c>
      <c r="E204" s="39" t="s">
        <v>666</v>
      </c>
      <c r="F204" s="39" t="s">
        <v>99</v>
      </c>
      <c r="G204" s="39" t="s">
        <v>667</v>
      </c>
      <c r="H204" s="39" t="s">
        <v>135</v>
      </c>
      <c r="I204" s="39" t="s">
        <v>668</v>
      </c>
      <c r="J204" s="39" t="s">
        <v>669</v>
      </c>
    </row>
    <row r="205" ht="15.75" customHeight="1">
      <c r="A205" s="41" t="s">
        <v>201</v>
      </c>
      <c r="B205" s="41" t="s">
        <v>350</v>
      </c>
      <c r="C205" s="93"/>
      <c r="D205" s="93"/>
      <c r="E205" s="93"/>
      <c r="F205" s="93"/>
      <c r="G205" s="93"/>
      <c r="H205" s="93"/>
      <c r="I205" s="93"/>
      <c r="J205" s="93"/>
    </row>
    <row r="206" ht="15.75" customHeight="1">
      <c r="A206" s="41" t="s">
        <v>203</v>
      </c>
      <c r="B206" s="41" t="s">
        <v>351</v>
      </c>
      <c r="C206" s="93"/>
      <c r="D206" s="93"/>
      <c r="E206" s="93"/>
      <c r="F206" s="93"/>
      <c r="G206" s="93"/>
      <c r="H206" s="93"/>
      <c r="I206" s="93"/>
      <c r="J206" s="93"/>
    </row>
    <row r="207" ht="15.75" customHeight="1">
      <c r="A207" s="41" t="s">
        <v>204</v>
      </c>
      <c r="B207" s="41" t="s">
        <v>352</v>
      </c>
      <c r="C207" s="93"/>
      <c r="D207" s="93"/>
      <c r="E207" s="93"/>
      <c r="F207" s="93"/>
      <c r="G207" s="93"/>
      <c r="H207" s="93"/>
      <c r="I207" s="93"/>
      <c r="J207" s="93"/>
    </row>
    <row r="208" ht="15.75" customHeight="1">
      <c r="A208" s="41" t="s">
        <v>205</v>
      </c>
      <c r="B208" s="41" t="s">
        <v>353</v>
      </c>
      <c r="C208" s="93"/>
      <c r="D208" s="93"/>
      <c r="E208" s="93"/>
      <c r="F208" s="93"/>
      <c r="G208" s="93"/>
      <c r="H208" s="93"/>
      <c r="I208" s="93"/>
      <c r="J208" s="93"/>
    </row>
    <row r="209" ht="15.75" customHeight="1">
      <c r="A209" s="41" t="s">
        <v>206</v>
      </c>
      <c r="B209" s="41" t="s">
        <v>354</v>
      </c>
      <c r="C209" s="93"/>
      <c r="D209" s="93"/>
      <c r="E209" s="93"/>
      <c r="F209" s="93"/>
      <c r="G209" s="93"/>
      <c r="H209" s="93"/>
      <c r="I209" s="93"/>
      <c r="J209" s="93"/>
    </row>
    <row r="210" ht="15.75" customHeight="1">
      <c r="A210" s="89" t="s">
        <v>207</v>
      </c>
      <c r="B210" s="89" t="s">
        <v>355</v>
      </c>
      <c r="C210" s="90"/>
      <c r="D210" s="90"/>
      <c r="E210" s="90"/>
      <c r="F210" s="90"/>
      <c r="G210" s="90"/>
      <c r="H210" s="90"/>
      <c r="I210" s="90"/>
      <c r="J210" s="90"/>
    </row>
    <row r="211" ht="15.75" customHeight="1">
      <c r="A211" s="89" t="s">
        <v>209</v>
      </c>
      <c r="B211" s="89" t="s">
        <v>356</v>
      </c>
      <c r="C211" s="90"/>
      <c r="D211" s="90"/>
      <c r="E211" s="90"/>
      <c r="F211" s="90"/>
      <c r="G211" s="90"/>
      <c r="H211" s="90"/>
      <c r="I211" s="90"/>
      <c r="J211" s="90"/>
    </row>
    <row r="212" ht="15.75" customHeight="1">
      <c r="A212" s="91" t="s">
        <v>211</v>
      </c>
      <c r="B212" s="92"/>
      <c r="C212" s="92"/>
      <c r="D212" s="92">
        <f t="shared" ref="D212:J212" si="19">SUM(D205:D211)</f>
        <v>0</v>
      </c>
      <c r="E212" s="92">
        <f t="shared" si="19"/>
        <v>0</v>
      </c>
      <c r="F212" s="92">
        <f t="shared" si="19"/>
        <v>0</v>
      </c>
      <c r="G212" s="92">
        <f t="shared" si="19"/>
        <v>0</v>
      </c>
      <c r="H212" s="92">
        <f t="shared" si="19"/>
        <v>0</v>
      </c>
      <c r="I212" s="92">
        <f t="shared" si="19"/>
        <v>0</v>
      </c>
      <c r="J212" s="92">
        <f t="shared" si="19"/>
        <v>0</v>
      </c>
    </row>
    <row r="213" ht="15.75" customHeight="1"/>
    <row r="214" ht="15.75" customHeight="1">
      <c r="A214" s="87" t="s">
        <v>357</v>
      </c>
      <c r="B214" s="37"/>
      <c r="C214" s="37"/>
      <c r="D214" s="37"/>
      <c r="E214" s="37"/>
      <c r="F214" s="37"/>
      <c r="G214" s="37"/>
      <c r="H214" s="37"/>
      <c r="I214" s="37"/>
      <c r="J214" s="38"/>
    </row>
    <row r="215" ht="15.75" customHeight="1">
      <c r="A215" s="39" t="s">
        <v>192</v>
      </c>
      <c r="B215" s="39" t="s">
        <v>193</v>
      </c>
      <c r="C215" s="39" t="s">
        <v>665</v>
      </c>
      <c r="D215" s="39" t="s">
        <v>195</v>
      </c>
      <c r="E215" s="39" t="s">
        <v>666</v>
      </c>
      <c r="F215" s="39" t="s">
        <v>99</v>
      </c>
      <c r="G215" s="39" t="s">
        <v>667</v>
      </c>
      <c r="H215" s="39" t="s">
        <v>135</v>
      </c>
      <c r="I215" s="39" t="s">
        <v>668</v>
      </c>
      <c r="J215" s="39" t="s">
        <v>669</v>
      </c>
    </row>
    <row r="216" ht="15.75" customHeight="1">
      <c r="A216" s="41" t="s">
        <v>201</v>
      </c>
      <c r="B216" s="41" t="s">
        <v>358</v>
      </c>
      <c r="C216" s="93"/>
      <c r="D216" s="93"/>
      <c r="E216" s="93"/>
      <c r="F216" s="93"/>
      <c r="G216" s="93"/>
      <c r="H216" s="93"/>
      <c r="I216" s="93"/>
      <c r="J216" s="93"/>
    </row>
    <row r="217" ht="15.75" customHeight="1">
      <c r="A217" s="41" t="s">
        <v>203</v>
      </c>
      <c r="B217" s="41" t="s">
        <v>359</v>
      </c>
      <c r="C217" s="93"/>
      <c r="D217" s="93"/>
      <c r="E217" s="93"/>
      <c r="F217" s="93"/>
      <c r="G217" s="93"/>
      <c r="H217" s="93"/>
      <c r="I217" s="93"/>
      <c r="J217" s="93"/>
    </row>
    <row r="218" ht="15.75" customHeight="1">
      <c r="A218" s="41" t="s">
        <v>204</v>
      </c>
      <c r="B218" s="41" t="s">
        <v>360</v>
      </c>
      <c r="C218" s="93"/>
      <c r="D218" s="93"/>
      <c r="E218" s="93"/>
      <c r="F218" s="93"/>
      <c r="G218" s="93"/>
      <c r="H218" s="93"/>
      <c r="I218" s="93"/>
      <c r="J218" s="93"/>
    </row>
    <row r="219" ht="15.75" customHeight="1">
      <c r="A219" s="41" t="s">
        <v>205</v>
      </c>
      <c r="B219" s="41" t="s">
        <v>361</v>
      </c>
      <c r="C219" s="93"/>
      <c r="D219" s="93"/>
      <c r="E219" s="93"/>
      <c r="F219" s="93"/>
      <c r="G219" s="93"/>
      <c r="H219" s="93"/>
      <c r="I219" s="93"/>
      <c r="J219" s="93"/>
    </row>
    <row r="220" ht="15.75" customHeight="1">
      <c r="A220" s="41" t="s">
        <v>206</v>
      </c>
      <c r="B220" s="41" t="s">
        <v>362</v>
      </c>
      <c r="C220" s="93"/>
      <c r="D220" s="93"/>
      <c r="E220" s="93"/>
      <c r="F220" s="93"/>
      <c r="G220" s="93"/>
      <c r="H220" s="93"/>
      <c r="I220" s="93"/>
      <c r="J220" s="93"/>
    </row>
    <row r="221" ht="15.75" customHeight="1">
      <c r="A221" s="89" t="s">
        <v>207</v>
      </c>
      <c r="B221" s="89" t="s">
        <v>363</v>
      </c>
      <c r="C221" s="90"/>
      <c r="D221" s="90"/>
      <c r="E221" s="90"/>
      <c r="F221" s="90"/>
      <c r="G221" s="90"/>
      <c r="H221" s="90"/>
      <c r="I221" s="90"/>
      <c r="J221" s="90"/>
    </row>
    <row r="222" ht="15.75" customHeight="1">
      <c r="A222" s="89" t="s">
        <v>209</v>
      </c>
      <c r="B222" s="89" t="s">
        <v>364</v>
      </c>
      <c r="C222" s="90"/>
      <c r="D222" s="90"/>
      <c r="E222" s="90"/>
      <c r="F222" s="90"/>
      <c r="G222" s="90"/>
      <c r="H222" s="90"/>
      <c r="I222" s="90"/>
      <c r="J222" s="90"/>
    </row>
    <row r="223" ht="15.75" customHeight="1">
      <c r="A223" s="91" t="s">
        <v>211</v>
      </c>
      <c r="B223" s="92"/>
      <c r="C223" s="92"/>
      <c r="D223" s="92">
        <f t="shared" ref="D223:J223" si="20">SUM(D216:D222)</f>
        <v>0</v>
      </c>
      <c r="E223" s="92">
        <f t="shared" si="20"/>
        <v>0</v>
      </c>
      <c r="F223" s="92">
        <f t="shared" si="20"/>
        <v>0</v>
      </c>
      <c r="G223" s="92">
        <f t="shared" si="20"/>
        <v>0</v>
      </c>
      <c r="H223" s="92">
        <f t="shared" si="20"/>
        <v>0</v>
      </c>
      <c r="I223" s="92">
        <f t="shared" si="20"/>
        <v>0</v>
      </c>
      <c r="J223" s="92">
        <f t="shared" si="20"/>
        <v>0</v>
      </c>
    </row>
    <row r="224" ht="15.75" customHeight="1"/>
    <row r="225" ht="15.75" customHeight="1">
      <c r="A225" s="87" t="s">
        <v>365</v>
      </c>
      <c r="B225" s="37"/>
      <c r="C225" s="37"/>
      <c r="D225" s="37"/>
      <c r="E225" s="37"/>
      <c r="F225" s="37"/>
      <c r="G225" s="37"/>
      <c r="H225" s="37"/>
      <c r="I225" s="37"/>
      <c r="J225" s="38"/>
    </row>
    <row r="226" ht="15.75" customHeight="1">
      <c r="A226" s="39" t="s">
        <v>192</v>
      </c>
      <c r="B226" s="39" t="s">
        <v>193</v>
      </c>
      <c r="C226" s="39" t="s">
        <v>665</v>
      </c>
      <c r="D226" s="39" t="s">
        <v>195</v>
      </c>
      <c r="E226" s="39" t="s">
        <v>666</v>
      </c>
      <c r="F226" s="39" t="s">
        <v>99</v>
      </c>
      <c r="G226" s="39" t="s">
        <v>667</v>
      </c>
      <c r="H226" s="39" t="s">
        <v>135</v>
      </c>
      <c r="I226" s="39" t="s">
        <v>668</v>
      </c>
      <c r="J226" s="39" t="s">
        <v>669</v>
      </c>
    </row>
    <row r="227" ht="15.75" customHeight="1">
      <c r="A227" s="41" t="s">
        <v>201</v>
      </c>
      <c r="B227" s="41" t="s">
        <v>366</v>
      </c>
      <c r="C227" s="93"/>
      <c r="D227" s="93"/>
      <c r="E227" s="93"/>
      <c r="F227" s="93"/>
      <c r="G227" s="93"/>
      <c r="H227" s="93"/>
      <c r="I227" s="93"/>
      <c r="J227" s="93"/>
    </row>
    <row r="228" ht="15.75" customHeight="1">
      <c r="A228" s="41" t="s">
        <v>203</v>
      </c>
      <c r="B228" s="41" t="s">
        <v>367</v>
      </c>
      <c r="C228" s="93"/>
      <c r="D228" s="93"/>
      <c r="E228" s="93"/>
      <c r="F228" s="93"/>
      <c r="G228" s="93"/>
      <c r="H228" s="93"/>
      <c r="I228" s="93"/>
      <c r="J228" s="93"/>
    </row>
    <row r="229" ht="15.75" customHeight="1">
      <c r="A229" s="41" t="s">
        <v>204</v>
      </c>
      <c r="B229" s="41" t="s">
        <v>368</v>
      </c>
      <c r="C229" s="93"/>
      <c r="D229" s="93"/>
      <c r="E229" s="93"/>
      <c r="F229" s="93"/>
      <c r="G229" s="93"/>
      <c r="H229" s="93"/>
      <c r="I229" s="93"/>
      <c r="J229" s="93"/>
    </row>
    <row r="230" ht="15.75" customHeight="1">
      <c r="A230" s="41" t="s">
        <v>205</v>
      </c>
      <c r="B230" s="41" t="s">
        <v>369</v>
      </c>
      <c r="C230" s="93"/>
      <c r="D230" s="93"/>
      <c r="E230" s="93"/>
      <c r="F230" s="93"/>
      <c r="G230" s="93"/>
      <c r="H230" s="93"/>
      <c r="I230" s="93"/>
      <c r="J230" s="93"/>
    </row>
    <row r="231" ht="15.75" customHeight="1">
      <c r="A231" s="41" t="s">
        <v>206</v>
      </c>
      <c r="B231" s="41" t="s">
        <v>370</v>
      </c>
      <c r="C231" s="93"/>
      <c r="D231" s="93"/>
      <c r="E231" s="93"/>
      <c r="F231" s="93"/>
      <c r="G231" s="93"/>
      <c r="H231" s="93"/>
      <c r="I231" s="93"/>
      <c r="J231" s="93"/>
    </row>
    <row r="232" ht="15.75" customHeight="1">
      <c r="A232" s="89" t="s">
        <v>207</v>
      </c>
      <c r="B232" s="89" t="s">
        <v>371</v>
      </c>
      <c r="C232" s="90"/>
      <c r="D232" s="90"/>
      <c r="E232" s="90"/>
      <c r="F232" s="90"/>
      <c r="G232" s="90"/>
      <c r="H232" s="90"/>
      <c r="I232" s="90"/>
      <c r="J232" s="90"/>
    </row>
    <row r="233" ht="15.75" customHeight="1">
      <c r="A233" s="89" t="s">
        <v>209</v>
      </c>
      <c r="B233" s="89" t="s">
        <v>372</v>
      </c>
      <c r="C233" s="90"/>
      <c r="D233" s="90"/>
      <c r="E233" s="90"/>
      <c r="F233" s="90"/>
      <c r="G233" s="90"/>
      <c r="H233" s="90"/>
      <c r="I233" s="90"/>
      <c r="J233" s="90"/>
    </row>
    <row r="234" ht="15.75" customHeight="1">
      <c r="A234" s="91" t="s">
        <v>211</v>
      </c>
      <c r="B234" s="92"/>
      <c r="C234" s="92"/>
      <c r="D234" s="92">
        <f t="shared" ref="D234:J234" si="21">SUM(D227:D233)</f>
        <v>0</v>
      </c>
      <c r="E234" s="92">
        <f t="shared" si="21"/>
        <v>0</v>
      </c>
      <c r="F234" s="92">
        <f t="shared" si="21"/>
        <v>0</v>
      </c>
      <c r="G234" s="92">
        <f t="shared" si="21"/>
        <v>0</v>
      </c>
      <c r="H234" s="92">
        <f t="shared" si="21"/>
        <v>0</v>
      </c>
      <c r="I234" s="92">
        <f t="shared" si="21"/>
        <v>0</v>
      </c>
      <c r="J234" s="92">
        <f t="shared" si="21"/>
        <v>0</v>
      </c>
    </row>
    <row r="235" ht="15.75" customHeight="1"/>
    <row r="236" ht="15.75" customHeight="1">
      <c r="A236" s="87" t="s">
        <v>373</v>
      </c>
      <c r="B236" s="37"/>
      <c r="C236" s="37"/>
      <c r="D236" s="37"/>
      <c r="E236" s="37"/>
      <c r="F236" s="37"/>
      <c r="G236" s="37"/>
      <c r="H236" s="37"/>
      <c r="I236" s="37"/>
      <c r="J236" s="38"/>
    </row>
    <row r="237" ht="15.75" customHeight="1">
      <c r="A237" s="39" t="s">
        <v>192</v>
      </c>
      <c r="B237" s="39" t="s">
        <v>193</v>
      </c>
      <c r="C237" s="39" t="s">
        <v>665</v>
      </c>
      <c r="D237" s="39" t="s">
        <v>195</v>
      </c>
      <c r="E237" s="39" t="s">
        <v>666</v>
      </c>
      <c r="F237" s="39" t="s">
        <v>99</v>
      </c>
      <c r="G237" s="39" t="s">
        <v>667</v>
      </c>
      <c r="H237" s="39" t="s">
        <v>135</v>
      </c>
      <c r="I237" s="39" t="s">
        <v>668</v>
      </c>
      <c r="J237" s="39" t="s">
        <v>669</v>
      </c>
    </row>
    <row r="238" ht="15.75" customHeight="1">
      <c r="A238" s="41" t="s">
        <v>201</v>
      </c>
      <c r="B238" s="41" t="s">
        <v>374</v>
      </c>
      <c r="C238" s="93"/>
      <c r="D238" s="93"/>
      <c r="E238" s="93"/>
      <c r="F238" s="93"/>
      <c r="G238" s="93"/>
      <c r="H238" s="93"/>
      <c r="I238" s="93"/>
      <c r="J238" s="93"/>
    </row>
    <row r="239" ht="15.75" customHeight="1">
      <c r="A239" s="41" t="s">
        <v>203</v>
      </c>
      <c r="B239" s="41" t="s">
        <v>375</v>
      </c>
      <c r="C239" s="93"/>
      <c r="D239" s="93"/>
      <c r="E239" s="93"/>
      <c r="F239" s="93"/>
      <c r="G239" s="93"/>
      <c r="H239" s="93"/>
      <c r="I239" s="93"/>
      <c r="J239" s="93"/>
    </row>
    <row r="240" ht="15.75" customHeight="1">
      <c r="A240" s="41" t="s">
        <v>204</v>
      </c>
      <c r="B240" s="41" t="s">
        <v>376</v>
      </c>
      <c r="C240" s="93"/>
      <c r="D240" s="93"/>
      <c r="E240" s="93"/>
      <c r="F240" s="93"/>
      <c r="G240" s="93"/>
      <c r="H240" s="93"/>
      <c r="I240" s="93"/>
      <c r="J240" s="93"/>
    </row>
    <row r="241" ht="15.75" customHeight="1">
      <c r="A241" s="41" t="s">
        <v>205</v>
      </c>
      <c r="B241" s="41" t="s">
        <v>377</v>
      </c>
      <c r="C241" s="93"/>
      <c r="D241" s="93"/>
      <c r="E241" s="93"/>
      <c r="F241" s="93"/>
      <c r="G241" s="93"/>
      <c r="H241" s="93"/>
      <c r="I241" s="93"/>
      <c r="J241" s="93"/>
    </row>
    <row r="242" ht="15.75" customHeight="1">
      <c r="A242" s="41" t="s">
        <v>206</v>
      </c>
      <c r="B242" s="41" t="s">
        <v>378</v>
      </c>
      <c r="C242" s="93"/>
      <c r="D242" s="93"/>
      <c r="E242" s="93"/>
      <c r="F242" s="93"/>
      <c r="G242" s="93"/>
      <c r="H242" s="93"/>
      <c r="I242" s="93"/>
      <c r="J242" s="93"/>
    </row>
    <row r="243" ht="15.75" customHeight="1">
      <c r="A243" s="89" t="s">
        <v>207</v>
      </c>
      <c r="B243" s="89" t="s">
        <v>379</v>
      </c>
      <c r="C243" s="90"/>
      <c r="D243" s="90"/>
      <c r="E243" s="90"/>
      <c r="F243" s="90"/>
      <c r="G243" s="90"/>
      <c r="H243" s="90"/>
      <c r="I243" s="90"/>
      <c r="J243" s="90"/>
    </row>
    <row r="244" ht="15.75" customHeight="1">
      <c r="A244" s="89" t="s">
        <v>209</v>
      </c>
      <c r="B244" s="89" t="s">
        <v>380</v>
      </c>
      <c r="C244" s="90"/>
      <c r="D244" s="90"/>
      <c r="E244" s="90"/>
      <c r="F244" s="90"/>
      <c r="G244" s="90"/>
      <c r="H244" s="90"/>
      <c r="I244" s="90"/>
      <c r="J244" s="90"/>
    </row>
    <row r="245" ht="15.75" customHeight="1">
      <c r="A245" s="91" t="s">
        <v>211</v>
      </c>
      <c r="B245" s="92"/>
      <c r="C245" s="92"/>
      <c r="D245" s="92">
        <f t="shared" ref="D245:J245" si="22">SUM(D238:D244)</f>
        <v>0</v>
      </c>
      <c r="E245" s="92">
        <f t="shared" si="22"/>
        <v>0</v>
      </c>
      <c r="F245" s="92">
        <f t="shared" si="22"/>
        <v>0</v>
      </c>
      <c r="G245" s="92">
        <f t="shared" si="22"/>
        <v>0</v>
      </c>
      <c r="H245" s="92">
        <f t="shared" si="22"/>
        <v>0</v>
      </c>
      <c r="I245" s="92">
        <f t="shared" si="22"/>
        <v>0</v>
      </c>
      <c r="J245" s="92">
        <f t="shared" si="22"/>
        <v>0</v>
      </c>
    </row>
    <row r="246" ht="15.75" customHeight="1"/>
    <row r="247" ht="15.75" customHeight="1">
      <c r="A247" s="87" t="s">
        <v>381</v>
      </c>
      <c r="B247" s="37"/>
      <c r="C247" s="37"/>
      <c r="D247" s="37"/>
      <c r="E247" s="37"/>
      <c r="F247" s="37"/>
      <c r="G247" s="37"/>
      <c r="H247" s="37"/>
      <c r="I247" s="37"/>
      <c r="J247" s="38"/>
    </row>
    <row r="248" ht="15.75" customHeight="1">
      <c r="A248" s="39" t="s">
        <v>192</v>
      </c>
      <c r="B248" s="39" t="s">
        <v>193</v>
      </c>
      <c r="C248" s="39" t="s">
        <v>665</v>
      </c>
      <c r="D248" s="39" t="s">
        <v>195</v>
      </c>
      <c r="E248" s="39" t="s">
        <v>666</v>
      </c>
      <c r="F248" s="39" t="s">
        <v>99</v>
      </c>
      <c r="G248" s="39" t="s">
        <v>667</v>
      </c>
      <c r="H248" s="39" t="s">
        <v>135</v>
      </c>
      <c r="I248" s="39" t="s">
        <v>668</v>
      </c>
      <c r="J248" s="39" t="s">
        <v>669</v>
      </c>
    </row>
    <row r="249" ht="15.75" customHeight="1">
      <c r="A249" s="41" t="s">
        <v>201</v>
      </c>
      <c r="B249" s="41" t="s">
        <v>382</v>
      </c>
      <c r="C249" s="93"/>
      <c r="D249" s="93"/>
      <c r="E249" s="93"/>
      <c r="F249" s="93"/>
      <c r="G249" s="93"/>
      <c r="H249" s="93"/>
      <c r="I249" s="93"/>
      <c r="J249" s="93"/>
    </row>
    <row r="250" ht="15.75" customHeight="1">
      <c r="A250" s="41" t="s">
        <v>203</v>
      </c>
      <c r="B250" s="41" t="s">
        <v>383</v>
      </c>
      <c r="C250" s="93"/>
      <c r="D250" s="93"/>
      <c r="E250" s="93"/>
      <c r="F250" s="93"/>
      <c r="G250" s="93"/>
      <c r="H250" s="93"/>
      <c r="I250" s="93"/>
      <c r="J250" s="93"/>
    </row>
    <row r="251" ht="15.75" customHeight="1">
      <c r="A251" s="41" t="s">
        <v>204</v>
      </c>
      <c r="B251" s="41" t="s">
        <v>384</v>
      </c>
      <c r="C251" s="93"/>
      <c r="D251" s="93"/>
      <c r="E251" s="93"/>
      <c r="F251" s="93"/>
      <c r="G251" s="93"/>
      <c r="H251" s="93"/>
      <c r="I251" s="93"/>
      <c r="J251" s="93"/>
    </row>
    <row r="252" ht="15.75" customHeight="1">
      <c r="A252" s="41" t="s">
        <v>205</v>
      </c>
      <c r="B252" s="41" t="s">
        <v>385</v>
      </c>
      <c r="C252" s="93"/>
      <c r="D252" s="93"/>
      <c r="E252" s="93"/>
      <c r="F252" s="93"/>
      <c r="G252" s="93"/>
      <c r="H252" s="93"/>
      <c r="I252" s="93"/>
      <c r="J252" s="93"/>
    </row>
    <row r="253" ht="15.75" customHeight="1">
      <c r="A253" s="41" t="s">
        <v>206</v>
      </c>
      <c r="B253" s="41" t="s">
        <v>386</v>
      </c>
      <c r="C253" s="93"/>
      <c r="D253" s="93"/>
      <c r="E253" s="93"/>
      <c r="F253" s="93"/>
      <c r="G253" s="93"/>
      <c r="H253" s="93"/>
      <c r="I253" s="93"/>
      <c r="J253" s="93"/>
    </row>
    <row r="254" ht="15.75" customHeight="1">
      <c r="A254" s="89" t="s">
        <v>207</v>
      </c>
      <c r="B254" s="89" t="s">
        <v>387</v>
      </c>
      <c r="C254" s="90"/>
      <c r="D254" s="90"/>
      <c r="E254" s="90"/>
      <c r="F254" s="90"/>
      <c r="G254" s="90"/>
      <c r="H254" s="90"/>
      <c r="I254" s="90"/>
      <c r="J254" s="90"/>
    </row>
    <row r="255" ht="15.75" customHeight="1">
      <c r="A255" s="89" t="s">
        <v>209</v>
      </c>
      <c r="B255" s="89" t="s">
        <v>388</v>
      </c>
      <c r="C255" s="90"/>
      <c r="D255" s="90"/>
      <c r="E255" s="90"/>
      <c r="F255" s="90"/>
      <c r="G255" s="90"/>
      <c r="H255" s="90"/>
      <c r="I255" s="90"/>
      <c r="J255" s="90"/>
    </row>
    <row r="256" ht="15.75" customHeight="1">
      <c r="A256" s="91" t="s">
        <v>211</v>
      </c>
      <c r="B256" s="92"/>
      <c r="C256" s="92"/>
      <c r="D256" s="92">
        <f t="shared" ref="D256:J256" si="23">SUM(D249:D255)</f>
        <v>0</v>
      </c>
      <c r="E256" s="92">
        <f t="shared" si="23"/>
        <v>0</v>
      </c>
      <c r="F256" s="92">
        <f t="shared" si="23"/>
        <v>0</v>
      </c>
      <c r="G256" s="92">
        <f t="shared" si="23"/>
        <v>0</v>
      </c>
      <c r="H256" s="92">
        <f t="shared" si="23"/>
        <v>0</v>
      </c>
      <c r="I256" s="92">
        <f t="shared" si="23"/>
        <v>0</v>
      </c>
      <c r="J256" s="92">
        <f t="shared" si="23"/>
        <v>0</v>
      </c>
    </row>
    <row r="257" ht="15.75" customHeight="1"/>
    <row r="258" ht="15.75" customHeight="1">
      <c r="A258" s="87" t="s">
        <v>389</v>
      </c>
      <c r="B258" s="37"/>
      <c r="C258" s="37"/>
      <c r="D258" s="37"/>
      <c r="E258" s="37"/>
      <c r="F258" s="37"/>
      <c r="G258" s="37"/>
      <c r="H258" s="37"/>
      <c r="I258" s="37"/>
      <c r="J258" s="38"/>
    </row>
    <row r="259" ht="15.75" customHeight="1">
      <c r="A259" s="39" t="s">
        <v>192</v>
      </c>
      <c r="B259" s="39" t="s">
        <v>193</v>
      </c>
      <c r="C259" s="39" t="s">
        <v>665</v>
      </c>
      <c r="D259" s="39" t="s">
        <v>195</v>
      </c>
      <c r="E259" s="39" t="s">
        <v>666</v>
      </c>
      <c r="F259" s="39" t="s">
        <v>99</v>
      </c>
      <c r="G259" s="39" t="s">
        <v>667</v>
      </c>
      <c r="H259" s="39" t="s">
        <v>135</v>
      </c>
      <c r="I259" s="39" t="s">
        <v>668</v>
      </c>
      <c r="J259" s="39" t="s">
        <v>669</v>
      </c>
    </row>
    <row r="260" ht="15.75" customHeight="1">
      <c r="A260" s="41" t="s">
        <v>201</v>
      </c>
      <c r="B260" s="41" t="s">
        <v>390</v>
      </c>
      <c r="C260" s="93"/>
      <c r="D260" s="93"/>
      <c r="E260" s="93"/>
      <c r="F260" s="93"/>
      <c r="G260" s="93"/>
      <c r="H260" s="93"/>
      <c r="I260" s="93"/>
      <c r="J260" s="93"/>
    </row>
    <row r="261" ht="15.75" customHeight="1">
      <c r="A261" s="41" t="s">
        <v>203</v>
      </c>
      <c r="B261" s="41" t="s">
        <v>391</v>
      </c>
      <c r="C261" s="93"/>
      <c r="D261" s="93"/>
      <c r="E261" s="93"/>
      <c r="F261" s="93"/>
      <c r="G261" s="93"/>
      <c r="H261" s="93"/>
      <c r="I261" s="93"/>
      <c r="J261" s="93"/>
    </row>
    <row r="262" ht="15.75" customHeight="1">
      <c r="A262" s="41" t="s">
        <v>204</v>
      </c>
      <c r="B262" s="41" t="s">
        <v>392</v>
      </c>
      <c r="C262" s="93"/>
      <c r="D262" s="93"/>
      <c r="E262" s="93"/>
      <c r="F262" s="93"/>
      <c r="G262" s="93"/>
      <c r="H262" s="93"/>
      <c r="I262" s="93"/>
      <c r="J262" s="93"/>
    </row>
    <row r="263" ht="15.75" customHeight="1">
      <c r="A263" s="41" t="s">
        <v>205</v>
      </c>
      <c r="B263" s="41" t="s">
        <v>393</v>
      </c>
      <c r="C263" s="93"/>
      <c r="D263" s="93"/>
      <c r="E263" s="93"/>
      <c r="F263" s="93"/>
      <c r="G263" s="93"/>
      <c r="H263" s="93"/>
      <c r="I263" s="93"/>
      <c r="J263" s="93"/>
    </row>
    <row r="264" ht="15.75" customHeight="1">
      <c r="A264" s="41" t="s">
        <v>206</v>
      </c>
      <c r="B264" s="41" t="s">
        <v>394</v>
      </c>
      <c r="C264" s="93"/>
      <c r="D264" s="93"/>
      <c r="E264" s="93"/>
      <c r="F264" s="93"/>
      <c r="G264" s="93"/>
      <c r="H264" s="93"/>
      <c r="I264" s="93"/>
      <c r="J264" s="93"/>
    </row>
    <row r="265" ht="15.75" customHeight="1">
      <c r="A265" s="89" t="s">
        <v>207</v>
      </c>
      <c r="B265" s="89" t="s">
        <v>395</v>
      </c>
      <c r="C265" s="90"/>
      <c r="D265" s="90"/>
      <c r="E265" s="90"/>
      <c r="F265" s="90"/>
      <c r="G265" s="90"/>
      <c r="H265" s="90"/>
      <c r="I265" s="90"/>
      <c r="J265" s="90"/>
    </row>
    <row r="266" ht="15.75" customHeight="1">
      <c r="A266" s="89" t="s">
        <v>209</v>
      </c>
      <c r="B266" s="89" t="s">
        <v>396</v>
      </c>
      <c r="C266" s="90"/>
      <c r="D266" s="90"/>
      <c r="E266" s="90"/>
      <c r="F266" s="90"/>
      <c r="G266" s="90"/>
      <c r="H266" s="90"/>
      <c r="I266" s="90"/>
      <c r="J266" s="90"/>
    </row>
    <row r="267" ht="15.75" customHeight="1">
      <c r="A267" s="91" t="s">
        <v>211</v>
      </c>
      <c r="B267" s="92"/>
      <c r="C267" s="92"/>
      <c r="D267" s="92">
        <f t="shared" ref="D267:J267" si="24">SUM(D260:D266)</f>
        <v>0</v>
      </c>
      <c r="E267" s="92">
        <f t="shared" si="24"/>
        <v>0</v>
      </c>
      <c r="F267" s="92">
        <f t="shared" si="24"/>
        <v>0</v>
      </c>
      <c r="G267" s="92">
        <f t="shared" si="24"/>
        <v>0</v>
      </c>
      <c r="H267" s="92">
        <f t="shared" si="24"/>
        <v>0</v>
      </c>
      <c r="I267" s="92">
        <f t="shared" si="24"/>
        <v>0</v>
      </c>
      <c r="J267" s="92">
        <f t="shared" si="24"/>
        <v>0</v>
      </c>
    </row>
    <row r="268" ht="15.75" customHeight="1"/>
    <row r="269" ht="15.75" customHeight="1">
      <c r="A269" s="87" t="s">
        <v>397</v>
      </c>
      <c r="B269" s="37"/>
      <c r="C269" s="37"/>
      <c r="D269" s="37"/>
      <c r="E269" s="37"/>
      <c r="F269" s="37"/>
      <c r="G269" s="37"/>
      <c r="H269" s="37"/>
      <c r="I269" s="37"/>
      <c r="J269" s="38"/>
    </row>
    <row r="270" ht="15.75" customHeight="1">
      <c r="A270" s="39" t="s">
        <v>192</v>
      </c>
      <c r="B270" s="39" t="s">
        <v>193</v>
      </c>
      <c r="C270" s="39" t="s">
        <v>665</v>
      </c>
      <c r="D270" s="39" t="s">
        <v>195</v>
      </c>
      <c r="E270" s="39" t="s">
        <v>666</v>
      </c>
      <c r="F270" s="39" t="s">
        <v>99</v>
      </c>
      <c r="G270" s="39" t="s">
        <v>667</v>
      </c>
      <c r="H270" s="39" t="s">
        <v>135</v>
      </c>
      <c r="I270" s="39" t="s">
        <v>668</v>
      </c>
      <c r="J270" s="39" t="s">
        <v>669</v>
      </c>
    </row>
    <row r="271" ht="15.75" customHeight="1">
      <c r="A271" s="41" t="s">
        <v>201</v>
      </c>
      <c r="B271" s="41" t="s">
        <v>398</v>
      </c>
      <c r="C271" s="93"/>
      <c r="D271" s="93"/>
      <c r="E271" s="93"/>
      <c r="F271" s="93"/>
      <c r="G271" s="93"/>
      <c r="H271" s="93"/>
      <c r="I271" s="93"/>
      <c r="J271" s="93"/>
    </row>
    <row r="272" ht="15.75" customHeight="1">
      <c r="A272" s="41" t="s">
        <v>203</v>
      </c>
      <c r="B272" s="41" t="s">
        <v>399</v>
      </c>
      <c r="C272" s="93"/>
      <c r="D272" s="93"/>
      <c r="E272" s="93"/>
      <c r="F272" s="93"/>
      <c r="G272" s="93"/>
      <c r="H272" s="93"/>
      <c r="I272" s="93"/>
      <c r="J272" s="93"/>
    </row>
    <row r="273" ht="15.75" customHeight="1">
      <c r="A273" s="41" t="s">
        <v>204</v>
      </c>
      <c r="B273" s="41" t="s">
        <v>400</v>
      </c>
      <c r="C273" s="93"/>
      <c r="D273" s="93"/>
      <c r="E273" s="93"/>
      <c r="F273" s="93"/>
      <c r="G273" s="93"/>
      <c r="H273" s="93"/>
      <c r="I273" s="93"/>
      <c r="J273" s="93"/>
    </row>
    <row r="274" ht="15.75" customHeight="1">
      <c r="A274" s="41" t="s">
        <v>205</v>
      </c>
      <c r="B274" s="41" t="s">
        <v>401</v>
      </c>
      <c r="C274" s="93"/>
      <c r="D274" s="93"/>
      <c r="E274" s="93"/>
      <c r="F274" s="93"/>
      <c r="G274" s="93"/>
      <c r="H274" s="93"/>
      <c r="I274" s="93"/>
      <c r="J274" s="93"/>
    </row>
    <row r="275" ht="15.75" customHeight="1">
      <c r="A275" s="41" t="s">
        <v>206</v>
      </c>
      <c r="B275" s="41" t="s">
        <v>402</v>
      </c>
      <c r="C275" s="93"/>
      <c r="D275" s="93"/>
      <c r="E275" s="93"/>
      <c r="F275" s="93"/>
      <c r="G275" s="93"/>
      <c r="H275" s="93"/>
      <c r="I275" s="93"/>
      <c r="J275" s="93"/>
    </row>
    <row r="276" ht="15.75" customHeight="1">
      <c r="A276" s="89" t="s">
        <v>207</v>
      </c>
      <c r="B276" s="89" t="s">
        <v>403</v>
      </c>
      <c r="C276" s="90"/>
      <c r="D276" s="90"/>
      <c r="E276" s="90"/>
      <c r="F276" s="90"/>
      <c r="G276" s="90"/>
      <c r="H276" s="90"/>
      <c r="I276" s="90"/>
      <c r="J276" s="90"/>
    </row>
    <row r="277" ht="15.75" customHeight="1">
      <c r="A277" s="89" t="s">
        <v>209</v>
      </c>
      <c r="B277" s="89" t="s">
        <v>404</v>
      </c>
      <c r="C277" s="90"/>
      <c r="D277" s="90"/>
      <c r="E277" s="90"/>
      <c r="F277" s="90"/>
      <c r="G277" s="90"/>
      <c r="H277" s="90"/>
      <c r="I277" s="90"/>
      <c r="J277" s="90"/>
    </row>
    <row r="278" ht="15.75" customHeight="1">
      <c r="A278" s="91" t="s">
        <v>211</v>
      </c>
      <c r="B278" s="92"/>
      <c r="C278" s="92"/>
      <c r="D278" s="92">
        <f t="shared" ref="D278:J278" si="25">SUM(D271:D277)</f>
        <v>0</v>
      </c>
      <c r="E278" s="92">
        <f t="shared" si="25"/>
        <v>0</v>
      </c>
      <c r="F278" s="92">
        <f t="shared" si="25"/>
        <v>0</v>
      </c>
      <c r="G278" s="92">
        <f t="shared" si="25"/>
        <v>0</v>
      </c>
      <c r="H278" s="92">
        <f t="shared" si="25"/>
        <v>0</v>
      </c>
      <c r="I278" s="92">
        <f t="shared" si="25"/>
        <v>0</v>
      </c>
      <c r="J278" s="92">
        <f t="shared" si="25"/>
        <v>0</v>
      </c>
    </row>
    <row r="279" ht="15.75" customHeight="1"/>
    <row r="280" ht="15.75" customHeight="1">
      <c r="A280" s="87" t="s">
        <v>405</v>
      </c>
      <c r="B280" s="37"/>
      <c r="C280" s="37"/>
      <c r="D280" s="37"/>
      <c r="E280" s="37"/>
      <c r="F280" s="37"/>
      <c r="G280" s="37"/>
      <c r="H280" s="37"/>
      <c r="I280" s="37"/>
      <c r="J280" s="38"/>
    </row>
    <row r="281" ht="15.75" customHeight="1">
      <c r="A281" s="39" t="s">
        <v>192</v>
      </c>
      <c r="B281" s="39" t="s">
        <v>193</v>
      </c>
      <c r="C281" s="39" t="s">
        <v>665</v>
      </c>
      <c r="D281" s="39" t="s">
        <v>195</v>
      </c>
      <c r="E281" s="39" t="s">
        <v>666</v>
      </c>
      <c r="F281" s="39" t="s">
        <v>99</v>
      </c>
      <c r="G281" s="39" t="s">
        <v>667</v>
      </c>
      <c r="H281" s="39" t="s">
        <v>135</v>
      </c>
      <c r="I281" s="39" t="s">
        <v>668</v>
      </c>
      <c r="J281" s="39" t="s">
        <v>669</v>
      </c>
    </row>
    <row r="282" ht="15.75" customHeight="1">
      <c r="A282" s="41" t="s">
        <v>201</v>
      </c>
      <c r="B282" s="41" t="s">
        <v>406</v>
      </c>
      <c r="C282" s="93"/>
      <c r="D282" s="93"/>
      <c r="E282" s="93"/>
      <c r="F282" s="93"/>
      <c r="G282" s="93"/>
      <c r="H282" s="93"/>
      <c r="I282" s="93"/>
      <c r="J282" s="93"/>
    </row>
    <row r="283" ht="15.75" customHeight="1">
      <c r="A283" s="41" t="s">
        <v>203</v>
      </c>
      <c r="B283" s="41" t="s">
        <v>407</v>
      </c>
      <c r="C283" s="93"/>
      <c r="D283" s="93"/>
      <c r="E283" s="93"/>
      <c r="F283" s="93"/>
      <c r="G283" s="93"/>
      <c r="H283" s="93"/>
      <c r="I283" s="93"/>
      <c r="J283" s="93"/>
    </row>
    <row r="284" ht="15.75" customHeight="1">
      <c r="A284" s="41" t="s">
        <v>204</v>
      </c>
      <c r="B284" s="41" t="s">
        <v>408</v>
      </c>
      <c r="C284" s="93"/>
      <c r="D284" s="93"/>
      <c r="E284" s="93"/>
      <c r="F284" s="93"/>
      <c r="G284" s="93"/>
      <c r="H284" s="93"/>
      <c r="I284" s="93"/>
      <c r="J284" s="93"/>
    </row>
    <row r="285" ht="15.75" customHeight="1">
      <c r="A285" s="41" t="s">
        <v>205</v>
      </c>
      <c r="B285" s="41" t="s">
        <v>409</v>
      </c>
      <c r="C285" s="93"/>
      <c r="D285" s="93"/>
      <c r="E285" s="93"/>
      <c r="F285" s="93"/>
      <c r="G285" s="93"/>
      <c r="H285" s="93"/>
      <c r="I285" s="93"/>
      <c r="J285" s="93"/>
    </row>
    <row r="286" ht="15.75" customHeight="1">
      <c r="A286" s="41" t="s">
        <v>206</v>
      </c>
      <c r="B286" s="41" t="s">
        <v>410</v>
      </c>
      <c r="C286" s="93"/>
      <c r="D286" s="93"/>
      <c r="E286" s="93"/>
      <c r="F286" s="93"/>
      <c r="G286" s="93"/>
      <c r="H286" s="93"/>
      <c r="I286" s="93"/>
      <c r="J286" s="93"/>
    </row>
    <row r="287" ht="15.75" customHeight="1">
      <c r="A287" s="89" t="s">
        <v>207</v>
      </c>
      <c r="B287" s="89" t="s">
        <v>411</v>
      </c>
      <c r="C287" s="90"/>
      <c r="D287" s="90"/>
      <c r="E287" s="90"/>
      <c r="F287" s="90"/>
      <c r="G287" s="90"/>
      <c r="H287" s="90"/>
      <c r="I287" s="90"/>
      <c r="J287" s="90"/>
    </row>
    <row r="288" ht="15.75" customHeight="1">
      <c r="A288" s="89" t="s">
        <v>209</v>
      </c>
      <c r="B288" s="89" t="s">
        <v>412</v>
      </c>
      <c r="C288" s="90"/>
      <c r="D288" s="90"/>
      <c r="E288" s="90"/>
      <c r="F288" s="90"/>
      <c r="G288" s="90"/>
      <c r="H288" s="90"/>
      <c r="I288" s="90"/>
      <c r="J288" s="90"/>
    </row>
    <row r="289" ht="15.75" customHeight="1">
      <c r="A289" s="91" t="s">
        <v>211</v>
      </c>
      <c r="B289" s="92"/>
      <c r="C289" s="92"/>
      <c r="D289" s="92">
        <f t="shared" ref="D289:J289" si="26">SUM(D282:D288)</f>
        <v>0</v>
      </c>
      <c r="E289" s="92">
        <f t="shared" si="26"/>
        <v>0</v>
      </c>
      <c r="F289" s="92">
        <f t="shared" si="26"/>
        <v>0</v>
      </c>
      <c r="G289" s="92">
        <f t="shared" si="26"/>
        <v>0</v>
      </c>
      <c r="H289" s="92">
        <f t="shared" si="26"/>
        <v>0</v>
      </c>
      <c r="I289" s="92">
        <f t="shared" si="26"/>
        <v>0</v>
      </c>
      <c r="J289" s="92">
        <f t="shared" si="26"/>
        <v>0</v>
      </c>
    </row>
    <row r="290" ht="15.75" customHeight="1"/>
    <row r="291" ht="15.75" customHeight="1">
      <c r="A291" s="87" t="s">
        <v>413</v>
      </c>
      <c r="B291" s="37"/>
      <c r="C291" s="37"/>
      <c r="D291" s="37"/>
      <c r="E291" s="37"/>
      <c r="F291" s="37"/>
      <c r="G291" s="37"/>
      <c r="H291" s="37"/>
      <c r="I291" s="37"/>
      <c r="J291" s="38"/>
    </row>
    <row r="292" ht="15.75" customHeight="1">
      <c r="A292" s="39" t="s">
        <v>192</v>
      </c>
      <c r="B292" s="39" t="s">
        <v>193</v>
      </c>
      <c r="C292" s="39" t="s">
        <v>665</v>
      </c>
      <c r="D292" s="39" t="s">
        <v>195</v>
      </c>
      <c r="E292" s="39" t="s">
        <v>666</v>
      </c>
      <c r="F292" s="39" t="s">
        <v>99</v>
      </c>
      <c r="G292" s="39" t="s">
        <v>667</v>
      </c>
      <c r="H292" s="39" t="s">
        <v>135</v>
      </c>
      <c r="I292" s="39" t="s">
        <v>668</v>
      </c>
      <c r="J292" s="39" t="s">
        <v>669</v>
      </c>
    </row>
    <row r="293" ht="15.75" customHeight="1">
      <c r="A293" s="41" t="s">
        <v>201</v>
      </c>
      <c r="B293" s="41" t="s">
        <v>414</v>
      </c>
      <c r="C293" s="93"/>
      <c r="D293" s="93"/>
      <c r="E293" s="93"/>
      <c r="F293" s="93"/>
      <c r="G293" s="93"/>
      <c r="H293" s="93"/>
      <c r="I293" s="93"/>
      <c r="J293" s="93"/>
    </row>
    <row r="294" ht="15.75" customHeight="1">
      <c r="A294" s="41" t="s">
        <v>203</v>
      </c>
      <c r="B294" s="41" t="s">
        <v>415</v>
      </c>
      <c r="C294" s="93"/>
      <c r="D294" s="93"/>
      <c r="E294" s="93"/>
      <c r="F294" s="93"/>
      <c r="G294" s="93"/>
      <c r="H294" s="93"/>
      <c r="I294" s="93"/>
      <c r="J294" s="93"/>
    </row>
    <row r="295" ht="15.75" customHeight="1">
      <c r="A295" s="41" t="s">
        <v>204</v>
      </c>
      <c r="B295" s="41" t="s">
        <v>416</v>
      </c>
      <c r="C295" s="93"/>
      <c r="D295" s="93"/>
      <c r="E295" s="93"/>
      <c r="F295" s="93"/>
      <c r="G295" s="93"/>
      <c r="H295" s="93"/>
      <c r="I295" s="93"/>
      <c r="J295" s="93"/>
    </row>
    <row r="296" ht="15.75" customHeight="1">
      <c r="A296" s="41" t="s">
        <v>205</v>
      </c>
      <c r="B296" s="41" t="s">
        <v>417</v>
      </c>
      <c r="C296" s="93"/>
      <c r="D296" s="93"/>
      <c r="E296" s="93"/>
      <c r="F296" s="93"/>
      <c r="G296" s="93"/>
      <c r="H296" s="93"/>
      <c r="I296" s="93"/>
      <c r="J296" s="93"/>
    </row>
    <row r="297" ht="15.75" customHeight="1">
      <c r="A297" s="41" t="s">
        <v>206</v>
      </c>
      <c r="B297" s="41" t="s">
        <v>418</v>
      </c>
      <c r="C297" s="93"/>
      <c r="D297" s="93"/>
      <c r="E297" s="93"/>
      <c r="F297" s="93"/>
      <c r="G297" s="93"/>
      <c r="H297" s="93"/>
      <c r="I297" s="93"/>
      <c r="J297" s="93"/>
    </row>
    <row r="298" ht="15.75" customHeight="1">
      <c r="A298" s="89" t="s">
        <v>207</v>
      </c>
      <c r="B298" s="89" t="s">
        <v>419</v>
      </c>
      <c r="C298" s="90"/>
      <c r="D298" s="90"/>
      <c r="E298" s="90"/>
      <c r="F298" s="90"/>
      <c r="G298" s="90"/>
      <c r="H298" s="90"/>
      <c r="I298" s="90"/>
      <c r="J298" s="90"/>
    </row>
    <row r="299" ht="15.75" customHeight="1">
      <c r="A299" s="89" t="s">
        <v>209</v>
      </c>
      <c r="B299" s="89" t="s">
        <v>420</v>
      </c>
      <c r="C299" s="90"/>
      <c r="D299" s="90"/>
      <c r="E299" s="90"/>
      <c r="F299" s="90"/>
      <c r="G299" s="90"/>
      <c r="H299" s="90"/>
      <c r="I299" s="90"/>
      <c r="J299" s="90"/>
    </row>
    <row r="300" ht="15.75" customHeight="1">
      <c r="A300" s="91" t="s">
        <v>211</v>
      </c>
      <c r="B300" s="92"/>
      <c r="C300" s="92"/>
      <c r="D300" s="92">
        <f t="shared" ref="D300:J300" si="27">SUM(D293:D299)</f>
        <v>0</v>
      </c>
      <c r="E300" s="92">
        <f t="shared" si="27"/>
        <v>0</v>
      </c>
      <c r="F300" s="92">
        <f t="shared" si="27"/>
        <v>0</v>
      </c>
      <c r="G300" s="92">
        <f t="shared" si="27"/>
        <v>0</v>
      </c>
      <c r="H300" s="92">
        <f t="shared" si="27"/>
        <v>0</v>
      </c>
      <c r="I300" s="92">
        <f t="shared" si="27"/>
        <v>0</v>
      </c>
      <c r="J300" s="92">
        <f t="shared" si="27"/>
        <v>0</v>
      </c>
    </row>
    <row r="301" ht="15.75" customHeight="1"/>
    <row r="302" ht="15.75" customHeight="1">
      <c r="A302" s="87" t="s">
        <v>421</v>
      </c>
      <c r="B302" s="37"/>
      <c r="C302" s="37"/>
      <c r="D302" s="37"/>
      <c r="E302" s="37"/>
      <c r="F302" s="37"/>
      <c r="G302" s="37"/>
      <c r="H302" s="37"/>
      <c r="I302" s="37"/>
      <c r="J302" s="38"/>
    </row>
    <row r="303" ht="15.75" customHeight="1">
      <c r="A303" s="39" t="s">
        <v>192</v>
      </c>
      <c r="B303" s="39" t="s">
        <v>193</v>
      </c>
      <c r="C303" s="39" t="s">
        <v>665</v>
      </c>
      <c r="D303" s="39" t="s">
        <v>195</v>
      </c>
      <c r="E303" s="39" t="s">
        <v>666</v>
      </c>
      <c r="F303" s="39" t="s">
        <v>99</v>
      </c>
      <c r="G303" s="39" t="s">
        <v>667</v>
      </c>
      <c r="H303" s="39" t="s">
        <v>135</v>
      </c>
      <c r="I303" s="39" t="s">
        <v>668</v>
      </c>
      <c r="J303" s="39" t="s">
        <v>669</v>
      </c>
    </row>
    <row r="304" ht="15.75" customHeight="1">
      <c r="A304" s="41" t="s">
        <v>201</v>
      </c>
      <c r="B304" s="41" t="s">
        <v>422</v>
      </c>
      <c r="C304" s="93"/>
      <c r="D304" s="93"/>
      <c r="E304" s="93"/>
      <c r="F304" s="93"/>
      <c r="G304" s="93"/>
      <c r="H304" s="93"/>
      <c r="I304" s="93"/>
      <c r="J304" s="93"/>
    </row>
    <row r="305" ht="15.75" customHeight="1">
      <c r="A305" s="41" t="s">
        <v>203</v>
      </c>
      <c r="B305" s="41" t="s">
        <v>423</v>
      </c>
      <c r="C305" s="93"/>
      <c r="D305" s="93"/>
      <c r="E305" s="93"/>
      <c r="F305" s="93"/>
      <c r="G305" s="93"/>
      <c r="H305" s="93"/>
      <c r="I305" s="93"/>
      <c r="J305" s="93"/>
    </row>
    <row r="306" ht="15.75" customHeight="1">
      <c r="A306" s="41" t="s">
        <v>204</v>
      </c>
      <c r="B306" s="41" t="s">
        <v>424</v>
      </c>
      <c r="C306" s="93"/>
      <c r="D306" s="93"/>
      <c r="E306" s="93"/>
      <c r="F306" s="93"/>
      <c r="G306" s="93"/>
      <c r="H306" s="93"/>
      <c r="I306" s="93"/>
      <c r="J306" s="93"/>
    </row>
    <row r="307" ht="15.75" customHeight="1">
      <c r="A307" s="41" t="s">
        <v>205</v>
      </c>
      <c r="B307" s="41" t="s">
        <v>425</v>
      </c>
      <c r="C307" s="93"/>
      <c r="D307" s="93"/>
      <c r="E307" s="93"/>
      <c r="F307" s="93"/>
      <c r="G307" s="93"/>
      <c r="H307" s="93"/>
      <c r="I307" s="93"/>
      <c r="J307" s="93"/>
    </row>
    <row r="308" ht="15.75" customHeight="1">
      <c r="A308" s="41" t="s">
        <v>206</v>
      </c>
      <c r="B308" s="41" t="s">
        <v>426</v>
      </c>
      <c r="C308" s="93"/>
      <c r="D308" s="93"/>
      <c r="E308" s="93"/>
      <c r="F308" s="93"/>
      <c r="G308" s="93"/>
      <c r="H308" s="93"/>
      <c r="I308" s="93"/>
      <c r="J308" s="93"/>
    </row>
    <row r="309" ht="15.75" customHeight="1">
      <c r="A309" s="89" t="s">
        <v>207</v>
      </c>
      <c r="B309" s="89" t="s">
        <v>427</v>
      </c>
      <c r="C309" s="90"/>
      <c r="D309" s="90"/>
      <c r="E309" s="90"/>
      <c r="F309" s="90"/>
      <c r="G309" s="90"/>
      <c r="H309" s="90"/>
      <c r="I309" s="90"/>
      <c r="J309" s="90"/>
    </row>
    <row r="310" ht="15.75" customHeight="1">
      <c r="A310" s="89" t="s">
        <v>209</v>
      </c>
      <c r="B310" s="89" t="s">
        <v>428</v>
      </c>
      <c r="C310" s="90"/>
      <c r="D310" s="90"/>
      <c r="E310" s="90"/>
      <c r="F310" s="90"/>
      <c r="G310" s="90"/>
      <c r="H310" s="90"/>
      <c r="I310" s="90"/>
      <c r="J310" s="90"/>
    </row>
    <row r="311" ht="15.75" customHeight="1">
      <c r="A311" s="91" t="s">
        <v>211</v>
      </c>
      <c r="B311" s="92"/>
      <c r="C311" s="92"/>
      <c r="D311" s="92">
        <f t="shared" ref="D311:J311" si="28">SUM(D304:D310)</f>
        <v>0</v>
      </c>
      <c r="E311" s="92">
        <f t="shared" si="28"/>
        <v>0</v>
      </c>
      <c r="F311" s="92">
        <f t="shared" si="28"/>
        <v>0</v>
      </c>
      <c r="G311" s="92">
        <f t="shared" si="28"/>
        <v>0</v>
      </c>
      <c r="H311" s="92">
        <f t="shared" si="28"/>
        <v>0</v>
      </c>
      <c r="I311" s="92">
        <f t="shared" si="28"/>
        <v>0</v>
      </c>
      <c r="J311" s="92">
        <f t="shared" si="28"/>
        <v>0</v>
      </c>
    </row>
    <row r="312" ht="15.75" customHeight="1"/>
    <row r="313" ht="15.75" customHeight="1">
      <c r="A313" s="87" t="s">
        <v>429</v>
      </c>
      <c r="B313" s="37"/>
      <c r="C313" s="37"/>
      <c r="D313" s="37"/>
      <c r="E313" s="37"/>
      <c r="F313" s="37"/>
      <c r="G313" s="37"/>
      <c r="H313" s="37"/>
      <c r="I313" s="37"/>
      <c r="J313" s="38"/>
    </row>
    <row r="314" ht="15.75" customHeight="1">
      <c r="A314" s="39" t="s">
        <v>192</v>
      </c>
      <c r="B314" s="39" t="s">
        <v>193</v>
      </c>
      <c r="C314" s="39" t="s">
        <v>665</v>
      </c>
      <c r="D314" s="39" t="s">
        <v>195</v>
      </c>
      <c r="E314" s="39" t="s">
        <v>666</v>
      </c>
      <c r="F314" s="39" t="s">
        <v>99</v>
      </c>
      <c r="G314" s="39" t="s">
        <v>667</v>
      </c>
      <c r="H314" s="39" t="s">
        <v>135</v>
      </c>
      <c r="I314" s="39" t="s">
        <v>668</v>
      </c>
      <c r="J314" s="39" t="s">
        <v>669</v>
      </c>
    </row>
    <row r="315" ht="15.75" customHeight="1">
      <c r="A315" s="41" t="s">
        <v>201</v>
      </c>
      <c r="B315" s="41" t="s">
        <v>430</v>
      </c>
      <c r="C315" s="93"/>
      <c r="D315" s="93"/>
      <c r="E315" s="93"/>
      <c r="F315" s="93"/>
      <c r="G315" s="93"/>
      <c r="H315" s="93"/>
      <c r="I315" s="93"/>
      <c r="J315" s="93"/>
    </row>
    <row r="316" ht="15.75" customHeight="1">
      <c r="A316" s="41" t="s">
        <v>203</v>
      </c>
      <c r="B316" s="41" t="s">
        <v>431</v>
      </c>
      <c r="C316" s="93"/>
      <c r="D316" s="93"/>
      <c r="E316" s="93"/>
      <c r="F316" s="93"/>
      <c r="G316" s="93"/>
      <c r="H316" s="93"/>
      <c r="I316" s="93"/>
      <c r="J316" s="93"/>
    </row>
    <row r="317" ht="15.75" customHeight="1">
      <c r="A317" s="41" t="s">
        <v>204</v>
      </c>
      <c r="B317" s="41" t="s">
        <v>432</v>
      </c>
      <c r="C317" s="93"/>
      <c r="D317" s="93"/>
      <c r="E317" s="93"/>
      <c r="F317" s="93"/>
      <c r="G317" s="93"/>
      <c r="H317" s="93"/>
      <c r="I317" s="93"/>
      <c r="J317" s="93"/>
    </row>
    <row r="318" ht="15.75" customHeight="1">
      <c r="A318" s="41" t="s">
        <v>205</v>
      </c>
      <c r="B318" s="41" t="s">
        <v>433</v>
      </c>
      <c r="C318" s="93"/>
      <c r="D318" s="93"/>
      <c r="E318" s="93"/>
      <c r="F318" s="93"/>
      <c r="G318" s="93"/>
      <c r="H318" s="93"/>
      <c r="I318" s="93"/>
      <c r="J318" s="93"/>
    </row>
    <row r="319" ht="15.75" customHeight="1">
      <c r="A319" s="41" t="s">
        <v>206</v>
      </c>
      <c r="B319" s="41" t="s">
        <v>434</v>
      </c>
      <c r="C319" s="93"/>
      <c r="D319" s="93"/>
      <c r="E319" s="93"/>
      <c r="F319" s="93"/>
      <c r="G319" s="93"/>
      <c r="H319" s="93"/>
      <c r="I319" s="93"/>
      <c r="J319" s="93"/>
    </row>
    <row r="320" ht="15.75" customHeight="1">
      <c r="A320" s="89" t="s">
        <v>207</v>
      </c>
      <c r="B320" s="89" t="s">
        <v>435</v>
      </c>
      <c r="C320" s="90"/>
      <c r="D320" s="90"/>
      <c r="E320" s="90"/>
      <c r="F320" s="90"/>
      <c r="G320" s="90"/>
      <c r="H320" s="90"/>
      <c r="I320" s="90"/>
      <c r="J320" s="90"/>
    </row>
    <row r="321" ht="15.75" customHeight="1">
      <c r="A321" s="89" t="s">
        <v>209</v>
      </c>
      <c r="B321" s="89" t="s">
        <v>436</v>
      </c>
      <c r="C321" s="90"/>
      <c r="D321" s="90"/>
      <c r="E321" s="90"/>
      <c r="F321" s="90"/>
      <c r="G321" s="90"/>
      <c r="H321" s="90"/>
      <c r="I321" s="90"/>
      <c r="J321" s="90"/>
    </row>
    <row r="322" ht="15.75" customHeight="1">
      <c r="A322" s="91" t="s">
        <v>211</v>
      </c>
      <c r="B322" s="92"/>
      <c r="C322" s="92"/>
      <c r="D322" s="92">
        <f t="shared" ref="D322:J322" si="29">SUM(D315:D321)</f>
        <v>0</v>
      </c>
      <c r="E322" s="92">
        <f t="shared" si="29"/>
        <v>0</v>
      </c>
      <c r="F322" s="92">
        <f t="shared" si="29"/>
        <v>0</v>
      </c>
      <c r="G322" s="92">
        <f t="shared" si="29"/>
        <v>0</v>
      </c>
      <c r="H322" s="92">
        <f t="shared" si="29"/>
        <v>0</v>
      </c>
      <c r="I322" s="92">
        <f t="shared" si="29"/>
        <v>0</v>
      </c>
      <c r="J322" s="92">
        <f t="shared" si="29"/>
        <v>0</v>
      </c>
    </row>
    <row r="323" ht="15.75" customHeight="1"/>
    <row r="324" ht="15.75" customHeight="1">
      <c r="A324" s="87" t="s">
        <v>437</v>
      </c>
      <c r="B324" s="37"/>
      <c r="C324" s="37"/>
      <c r="D324" s="37"/>
      <c r="E324" s="37"/>
      <c r="F324" s="37"/>
      <c r="G324" s="37"/>
      <c r="H324" s="37"/>
      <c r="I324" s="37"/>
      <c r="J324" s="38"/>
    </row>
    <row r="325" ht="15.75" customHeight="1">
      <c r="A325" s="39" t="s">
        <v>192</v>
      </c>
      <c r="B325" s="39" t="s">
        <v>193</v>
      </c>
      <c r="C325" s="39" t="s">
        <v>665</v>
      </c>
      <c r="D325" s="39" t="s">
        <v>195</v>
      </c>
      <c r="E325" s="39" t="s">
        <v>666</v>
      </c>
      <c r="F325" s="39" t="s">
        <v>99</v>
      </c>
      <c r="G325" s="39" t="s">
        <v>667</v>
      </c>
      <c r="H325" s="39" t="s">
        <v>135</v>
      </c>
      <c r="I325" s="39" t="s">
        <v>668</v>
      </c>
      <c r="J325" s="39" t="s">
        <v>669</v>
      </c>
    </row>
    <row r="326" ht="15.75" customHeight="1">
      <c r="A326" s="41" t="s">
        <v>201</v>
      </c>
      <c r="B326" s="41" t="s">
        <v>438</v>
      </c>
      <c r="C326" s="93"/>
      <c r="D326" s="93"/>
      <c r="E326" s="93"/>
      <c r="F326" s="93"/>
      <c r="G326" s="93"/>
      <c r="H326" s="93"/>
      <c r="I326" s="93"/>
      <c r="J326" s="93"/>
    </row>
    <row r="327" ht="15.75" customHeight="1">
      <c r="A327" s="41" t="s">
        <v>203</v>
      </c>
      <c r="B327" s="41" t="s">
        <v>439</v>
      </c>
      <c r="C327" s="93"/>
      <c r="D327" s="93"/>
      <c r="E327" s="93"/>
      <c r="F327" s="93"/>
      <c r="G327" s="93"/>
      <c r="H327" s="93"/>
      <c r="I327" s="93"/>
      <c r="J327" s="93"/>
    </row>
    <row r="328" ht="15.75" customHeight="1">
      <c r="A328" s="41" t="s">
        <v>204</v>
      </c>
      <c r="B328" s="41" t="s">
        <v>440</v>
      </c>
      <c r="C328" s="93"/>
      <c r="D328" s="93"/>
      <c r="E328" s="93"/>
      <c r="F328" s="93"/>
      <c r="G328" s="93"/>
      <c r="H328" s="93"/>
      <c r="I328" s="93"/>
      <c r="J328" s="93"/>
    </row>
    <row r="329" ht="15.75" customHeight="1">
      <c r="A329" s="41" t="s">
        <v>205</v>
      </c>
      <c r="B329" s="41" t="s">
        <v>441</v>
      </c>
      <c r="C329" s="93"/>
      <c r="D329" s="93"/>
      <c r="E329" s="93"/>
      <c r="F329" s="93"/>
      <c r="G329" s="93"/>
      <c r="H329" s="93"/>
      <c r="I329" s="93"/>
      <c r="J329" s="93"/>
    </row>
    <row r="330" ht="15.75" customHeight="1">
      <c r="A330" s="41" t="s">
        <v>206</v>
      </c>
      <c r="B330" s="41" t="s">
        <v>442</v>
      </c>
      <c r="C330" s="93"/>
      <c r="D330" s="93"/>
      <c r="E330" s="93"/>
      <c r="F330" s="93"/>
      <c r="G330" s="93"/>
      <c r="H330" s="93"/>
      <c r="I330" s="93"/>
      <c r="J330" s="93"/>
    </row>
    <row r="331" ht="15.75" customHeight="1">
      <c r="A331" s="89" t="s">
        <v>207</v>
      </c>
      <c r="B331" s="89" t="s">
        <v>443</v>
      </c>
      <c r="C331" s="90"/>
      <c r="D331" s="90"/>
      <c r="E331" s="90"/>
      <c r="F331" s="90"/>
      <c r="G331" s="90"/>
      <c r="H331" s="90"/>
      <c r="I331" s="90"/>
      <c r="J331" s="90"/>
    </row>
    <row r="332" ht="15.75" customHeight="1">
      <c r="A332" s="89" t="s">
        <v>209</v>
      </c>
      <c r="B332" s="89" t="s">
        <v>444</v>
      </c>
      <c r="C332" s="90"/>
      <c r="D332" s="90"/>
      <c r="E332" s="90"/>
      <c r="F332" s="90"/>
      <c r="G332" s="90"/>
      <c r="H332" s="90"/>
      <c r="I332" s="90"/>
      <c r="J332" s="90"/>
    </row>
    <row r="333" ht="15.75" customHeight="1">
      <c r="A333" s="91" t="s">
        <v>211</v>
      </c>
      <c r="B333" s="92"/>
      <c r="C333" s="92"/>
      <c r="D333" s="92">
        <f t="shared" ref="D333:J333" si="30">SUM(D326:D332)</f>
        <v>0</v>
      </c>
      <c r="E333" s="92">
        <f t="shared" si="30"/>
        <v>0</v>
      </c>
      <c r="F333" s="92">
        <f t="shared" si="30"/>
        <v>0</v>
      </c>
      <c r="G333" s="92">
        <f t="shared" si="30"/>
        <v>0</v>
      </c>
      <c r="H333" s="92">
        <f t="shared" si="30"/>
        <v>0</v>
      </c>
      <c r="I333" s="92">
        <f t="shared" si="30"/>
        <v>0</v>
      </c>
      <c r="J333" s="92">
        <f t="shared" si="30"/>
        <v>0</v>
      </c>
    </row>
    <row r="334" ht="15.75" customHeight="1"/>
    <row r="335" ht="15.75" customHeight="1">
      <c r="A335" s="87" t="s">
        <v>445</v>
      </c>
      <c r="B335" s="37"/>
      <c r="C335" s="37"/>
      <c r="D335" s="37"/>
      <c r="E335" s="37"/>
      <c r="F335" s="37"/>
      <c r="G335" s="37"/>
      <c r="H335" s="37"/>
      <c r="I335" s="37"/>
      <c r="J335" s="38"/>
    </row>
    <row r="336" ht="15.75" customHeight="1">
      <c r="A336" s="39" t="s">
        <v>192</v>
      </c>
      <c r="B336" s="39" t="s">
        <v>193</v>
      </c>
      <c r="C336" s="39" t="s">
        <v>665</v>
      </c>
      <c r="D336" s="39" t="s">
        <v>195</v>
      </c>
      <c r="E336" s="39" t="s">
        <v>666</v>
      </c>
      <c r="F336" s="39" t="s">
        <v>99</v>
      </c>
      <c r="G336" s="39" t="s">
        <v>667</v>
      </c>
      <c r="H336" s="39" t="s">
        <v>135</v>
      </c>
      <c r="I336" s="39" t="s">
        <v>668</v>
      </c>
      <c r="J336" s="39" t="s">
        <v>669</v>
      </c>
    </row>
    <row r="337" ht="15.75" customHeight="1">
      <c r="A337" s="41" t="s">
        <v>201</v>
      </c>
      <c r="B337" s="41" t="s">
        <v>446</v>
      </c>
      <c r="C337" s="93"/>
      <c r="D337" s="93"/>
      <c r="E337" s="93"/>
      <c r="F337" s="93"/>
      <c r="G337" s="93"/>
      <c r="H337" s="93"/>
      <c r="I337" s="93"/>
      <c r="J337" s="93"/>
    </row>
    <row r="338" ht="15.75" customHeight="1">
      <c r="A338" s="41" t="s">
        <v>203</v>
      </c>
      <c r="B338" s="41" t="s">
        <v>447</v>
      </c>
      <c r="C338" s="93"/>
      <c r="D338" s="93"/>
      <c r="E338" s="93"/>
      <c r="F338" s="93"/>
      <c r="G338" s="93"/>
      <c r="H338" s="93"/>
      <c r="I338" s="93"/>
      <c r="J338" s="93"/>
    </row>
    <row r="339" ht="15.75" customHeight="1">
      <c r="A339" s="41" t="s">
        <v>204</v>
      </c>
      <c r="B339" s="41" t="s">
        <v>448</v>
      </c>
      <c r="C339" s="93"/>
      <c r="D339" s="93"/>
      <c r="E339" s="93"/>
      <c r="F339" s="93"/>
      <c r="G339" s="93"/>
      <c r="H339" s="93"/>
      <c r="I339" s="93"/>
      <c r="J339" s="93"/>
    </row>
    <row r="340" ht="15.75" customHeight="1">
      <c r="A340" s="41" t="s">
        <v>205</v>
      </c>
      <c r="B340" s="41" t="s">
        <v>449</v>
      </c>
      <c r="C340" s="93"/>
      <c r="D340" s="93"/>
      <c r="E340" s="93"/>
      <c r="F340" s="93"/>
      <c r="G340" s="93"/>
      <c r="H340" s="93"/>
      <c r="I340" s="93"/>
      <c r="J340" s="93"/>
    </row>
    <row r="341" ht="15.75" customHeight="1">
      <c r="A341" s="41" t="s">
        <v>206</v>
      </c>
      <c r="B341" s="41" t="s">
        <v>450</v>
      </c>
      <c r="C341" s="93"/>
      <c r="D341" s="93"/>
      <c r="E341" s="93"/>
      <c r="F341" s="93"/>
      <c r="G341" s="93"/>
      <c r="H341" s="93"/>
      <c r="I341" s="93"/>
      <c r="J341" s="93"/>
    </row>
    <row r="342" ht="15.75" customHeight="1">
      <c r="A342" s="89" t="s">
        <v>207</v>
      </c>
      <c r="B342" s="89" t="s">
        <v>451</v>
      </c>
      <c r="C342" s="90"/>
      <c r="D342" s="90"/>
      <c r="E342" s="90"/>
      <c r="F342" s="90"/>
      <c r="G342" s="90"/>
      <c r="H342" s="90"/>
      <c r="I342" s="90"/>
      <c r="J342" s="90"/>
    </row>
    <row r="343" ht="15.75" customHeight="1">
      <c r="A343" s="89" t="s">
        <v>209</v>
      </c>
      <c r="B343" s="89" t="s">
        <v>452</v>
      </c>
      <c r="C343" s="90"/>
      <c r="D343" s="90"/>
      <c r="E343" s="90"/>
      <c r="F343" s="90"/>
      <c r="G343" s="90"/>
      <c r="H343" s="90"/>
      <c r="I343" s="90"/>
      <c r="J343" s="90"/>
    </row>
    <row r="344" ht="15.75" customHeight="1">
      <c r="A344" s="91" t="s">
        <v>211</v>
      </c>
      <c r="B344" s="92"/>
      <c r="C344" s="92"/>
      <c r="D344" s="92">
        <f t="shared" ref="D344:J344" si="31">SUM(D337:D343)</f>
        <v>0</v>
      </c>
      <c r="E344" s="92">
        <f t="shared" si="31"/>
        <v>0</v>
      </c>
      <c r="F344" s="92">
        <f t="shared" si="31"/>
        <v>0</v>
      </c>
      <c r="G344" s="92">
        <f t="shared" si="31"/>
        <v>0</v>
      </c>
      <c r="H344" s="92">
        <f t="shared" si="31"/>
        <v>0</v>
      </c>
      <c r="I344" s="92">
        <f t="shared" si="31"/>
        <v>0</v>
      </c>
      <c r="J344" s="92">
        <f t="shared" si="31"/>
        <v>0</v>
      </c>
    </row>
    <row r="345" ht="15.75" customHeight="1"/>
    <row r="346" ht="15.75" customHeight="1">
      <c r="A346" s="87" t="s">
        <v>453</v>
      </c>
      <c r="B346" s="37"/>
      <c r="C346" s="37"/>
      <c r="D346" s="37"/>
      <c r="E346" s="37"/>
      <c r="F346" s="37"/>
      <c r="G346" s="37"/>
      <c r="H346" s="37"/>
      <c r="I346" s="37"/>
      <c r="J346" s="38"/>
    </row>
    <row r="347" ht="15.75" customHeight="1">
      <c r="A347" s="39" t="s">
        <v>192</v>
      </c>
      <c r="B347" s="39" t="s">
        <v>193</v>
      </c>
      <c r="C347" s="39" t="s">
        <v>665</v>
      </c>
      <c r="D347" s="39" t="s">
        <v>195</v>
      </c>
      <c r="E347" s="39" t="s">
        <v>666</v>
      </c>
      <c r="F347" s="39" t="s">
        <v>99</v>
      </c>
      <c r="G347" s="39" t="s">
        <v>667</v>
      </c>
      <c r="H347" s="39" t="s">
        <v>135</v>
      </c>
      <c r="I347" s="39" t="s">
        <v>668</v>
      </c>
      <c r="J347" s="39" t="s">
        <v>669</v>
      </c>
    </row>
    <row r="348" ht="15.75" customHeight="1">
      <c r="A348" s="41" t="s">
        <v>201</v>
      </c>
      <c r="B348" s="41" t="s">
        <v>454</v>
      </c>
      <c r="C348" s="93"/>
      <c r="D348" s="93"/>
      <c r="E348" s="93"/>
      <c r="F348" s="93"/>
      <c r="G348" s="93"/>
      <c r="H348" s="93"/>
      <c r="I348" s="93"/>
      <c r="J348" s="93"/>
    </row>
    <row r="349" ht="15.75" customHeight="1">
      <c r="A349" s="41" t="s">
        <v>203</v>
      </c>
      <c r="B349" s="41" t="s">
        <v>455</v>
      </c>
      <c r="C349" s="93"/>
      <c r="D349" s="93"/>
      <c r="E349" s="93"/>
      <c r="F349" s="93"/>
      <c r="G349" s="93"/>
      <c r="H349" s="93"/>
      <c r="I349" s="93"/>
      <c r="J349" s="93"/>
    </row>
    <row r="350" ht="15.75" customHeight="1">
      <c r="A350" s="41" t="s">
        <v>204</v>
      </c>
      <c r="B350" s="41" t="s">
        <v>456</v>
      </c>
      <c r="C350" s="93"/>
      <c r="D350" s="93"/>
      <c r="E350" s="93"/>
      <c r="F350" s="93"/>
      <c r="G350" s="93"/>
      <c r="H350" s="93"/>
      <c r="I350" s="93"/>
      <c r="J350" s="93"/>
    </row>
    <row r="351" ht="15.75" customHeight="1">
      <c r="A351" s="41" t="s">
        <v>205</v>
      </c>
      <c r="B351" s="41" t="s">
        <v>457</v>
      </c>
      <c r="C351" s="93"/>
      <c r="D351" s="93"/>
      <c r="E351" s="93"/>
      <c r="F351" s="93"/>
      <c r="G351" s="93"/>
      <c r="H351" s="93"/>
      <c r="I351" s="93"/>
      <c r="J351" s="93"/>
    </row>
    <row r="352" ht="15.75" customHeight="1">
      <c r="A352" s="41" t="s">
        <v>206</v>
      </c>
      <c r="B352" s="41" t="s">
        <v>458</v>
      </c>
      <c r="C352" s="93"/>
      <c r="D352" s="93"/>
      <c r="E352" s="93"/>
      <c r="F352" s="93"/>
      <c r="G352" s="93"/>
      <c r="H352" s="93"/>
      <c r="I352" s="93"/>
      <c r="J352" s="93"/>
    </row>
    <row r="353" ht="15.75" customHeight="1">
      <c r="A353" s="89" t="s">
        <v>207</v>
      </c>
      <c r="B353" s="89" t="s">
        <v>459</v>
      </c>
      <c r="C353" s="90"/>
      <c r="D353" s="90"/>
      <c r="E353" s="90"/>
      <c r="F353" s="90"/>
      <c r="G353" s="90"/>
      <c r="H353" s="90"/>
      <c r="I353" s="90"/>
      <c r="J353" s="90"/>
    </row>
    <row r="354" ht="15.75" customHeight="1">
      <c r="A354" s="89" t="s">
        <v>209</v>
      </c>
      <c r="B354" s="89" t="s">
        <v>460</v>
      </c>
      <c r="C354" s="90"/>
      <c r="D354" s="90"/>
      <c r="E354" s="90"/>
      <c r="F354" s="90"/>
      <c r="G354" s="90"/>
      <c r="H354" s="90"/>
      <c r="I354" s="90"/>
      <c r="J354" s="90"/>
    </row>
    <row r="355" ht="15.75" customHeight="1">
      <c r="A355" s="91" t="s">
        <v>211</v>
      </c>
      <c r="B355" s="92"/>
      <c r="C355" s="92"/>
      <c r="D355" s="92">
        <f t="shared" ref="D355:J355" si="32">SUM(D348:D354)</f>
        <v>0</v>
      </c>
      <c r="E355" s="92">
        <f t="shared" si="32"/>
        <v>0</v>
      </c>
      <c r="F355" s="92">
        <f t="shared" si="32"/>
        <v>0</v>
      </c>
      <c r="G355" s="92">
        <f t="shared" si="32"/>
        <v>0</v>
      </c>
      <c r="H355" s="92">
        <f t="shared" si="32"/>
        <v>0</v>
      </c>
      <c r="I355" s="92">
        <f t="shared" si="32"/>
        <v>0</v>
      </c>
      <c r="J355" s="92">
        <f t="shared" si="32"/>
        <v>0</v>
      </c>
    </row>
    <row r="356" ht="15.75" customHeight="1"/>
    <row r="357" ht="15.75" customHeight="1">
      <c r="A357" s="87" t="s">
        <v>461</v>
      </c>
      <c r="B357" s="37"/>
      <c r="C357" s="37"/>
      <c r="D357" s="37"/>
      <c r="E357" s="37"/>
      <c r="F357" s="37"/>
      <c r="G357" s="37"/>
      <c r="H357" s="37"/>
      <c r="I357" s="37"/>
      <c r="J357" s="38"/>
    </row>
    <row r="358" ht="15.75" customHeight="1">
      <c r="A358" s="39" t="s">
        <v>192</v>
      </c>
      <c r="B358" s="39" t="s">
        <v>193</v>
      </c>
      <c r="C358" s="39" t="s">
        <v>665</v>
      </c>
      <c r="D358" s="39" t="s">
        <v>195</v>
      </c>
      <c r="E358" s="39" t="s">
        <v>666</v>
      </c>
      <c r="F358" s="39" t="s">
        <v>99</v>
      </c>
      <c r="G358" s="39" t="s">
        <v>667</v>
      </c>
      <c r="H358" s="39" t="s">
        <v>135</v>
      </c>
      <c r="I358" s="39" t="s">
        <v>668</v>
      </c>
      <c r="J358" s="39" t="s">
        <v>669</v>
      </c>
    </row>
    <row r="359" ht="15.75" customHeight="1">
      <c r="A359" s="41" t="s">
        <v>201</v>
      </c>
      <c r="B359" s="41" t="s">
        <v>462</v>
      </c>
      <c r="C359" s="93"/>
      <c r="D359" s="93"/>
      <c r="E359" s="93"/>
      <c r="F359" s="93"/>
      <c r="G359" s="93"/>
      <c r="H359" s="93"/>
      <c r="I359" s="93"/>
      <c r="J359" s="93"/>
    </row>
    <row r="360" ht="15.75" customHeight="1">
      <c r="A360" s="41" t="s">
        <v>203</v>
      </c>
      <c r="B360" s="41" t="s">
        <v>463</v>
      </c>
      <c r="C360" s="93"/>
      <c r="D360" s="93"/>
      <c r="E360" s="93"/>
      <c r="F360" s="93"/>
      <c r="G360" s="93"/>
      <c r="H360" s="93"/>
      <c r="I360" s="93"/>
      <c r="J360" s="93"/>
    </row>
    <row r="361" ht="15.75" customHeight="1">
      <c r="A361" s="41" t="s">
        <v>204</v>
      </c>
      <c r="B361" s="41" t="s">
        <v>464</v>
      </c>
      <c r="C361" s="93"/>
      <c r="D361" s="93"/>
      <c r="E361" s="93"/>
      <c r="F361" s="93"/>
      <c r="G361" s="93"/>
      <c r="H361" s="93"/>
      <c r="I361" s="93"/>
      <c r="J361" s="93"/>
    </row>
    <row r="362" ht="15.75" customHeight="1">
      <c r="A362" s="41" t="s">
        <v>205</v>
      </c>
      <c r="B362" s="41" t="s">
        <v>465</v>
      </c>
      <c r="C362" s="93"/>
      <c r="D362" s="93"/>
      <c r="E362" s="93"/>
      <c r="F362" s="93"/>
      <c r="G362" s="93"/>
      <c r="H362" s="93"/>
      <c r="I362" s="93"/>
      <c r="J362" s="93"/>
    </row>
    <row r="363" ht="15.75" customHeight="1">
      <c r="A363" s="41" t="s">
        <v>206</v>
      </c>
      <c r="B363" s="41" t="s">
        <v>466</v>
      </c>
      <c r="C363" s="93"/>
      <c r="D363" s="93"/>
      <c r="E363" s="93"/>
      <c r="F363" s="93"/>
      <c r="G363" s="93"/>
      <c r="H363" s="93"/>
      <c r="I363" s="93"/>
      <c r="J363" s="93"/>
    </row>
    <row r="364" ht="15.75" customHeight="1">
      <c r="A364" s="89" t="s">
        <v>207</v>
      </c>
      <c r="B364" s="89" t="s">
        <v>467</v>
      </c>
      <c r="C364" s="90"/>
      <c r="D364" s="90"/>
      <c r="E364" s="90"/>
      <c r="F364" s="90"/>
      <c r="G364" s="90"/>
      <c r="H364" s="90"/>
      <c r="I364" s="90"/>
      <c r="J364" s="90"/>
    </row>
    <row r="365" ht="15.75" customHeight="1">
      <c r="A365" s="89" t="s">
        <v>209</v>
      </c>
      <c r="B365" s="89" t="s">
        <v>468</v>
      </c>
      <c r="C365" s="90"/>
      <c r="D365" s="90"/>
      <c r="E365" s="90"/>
      <c r="F365" s="90"/>
      <c r="G365" s="90"/>
      <c r="H365" s="90"/>
      <c r="I365" s="90"/>
      <c r="J365" s="90"/>
    </row>
    <row r="366" ht="15.75" customHeight="1">
      <c r="A366" s="91" t="s">
        <v>211</v>
      </c>
      <c r="B366" s="92"/>
      <c r="C366" s="92"/>
      <c r="D366" s="92">
        <f t="shared" ref="D366:J366" si="33">SUM(D359:D365)</f>
        <v>0</v>
      </c>
      <c r="E366" s="92">
        <f t="shared" si="33"/>
        <v>0</v>
      </c>
      <c r="F366" s="92">
        <f t="shared" si="33"/>
        <v>0</v>
      </c>
      <c r="G366" s="92">
        <f t="shared" si="33"/>
        <v>0</v>
      </c>
      <c r="H366" s="92">
        <f t="shared" si="33"/>
        <v>0</v>
      </c>
      <c r="I366" s="92">
        <f t="shared" si="33"/>
        <v>0</v>
      </c>
      <c r="J366" s="92">
        <f t="shared" si="33"/>
        <v>0</v>
      </c>
    </row>
    <row r="367" ht="15.75" customHeight="1"/>
    <row r="368" ht="15.75" customHeight="1">
      <c r="A368" s="87" t="s">
        <v>469</v>
      </c>
      <c r="B368" s="37"/>
      <c r="C368" s="37"/>
      <c r="D368" s="37"/>
      <c r="E368" s="37"/>
      <c r="F368" s="37"/>
      <c r="G368" s="37"/>
      <c r="H368" s="37"/>
      <c r="I368" s="37"/>
      <c r="J368" s="38"/>
    </row>
    <row r="369" ht="15.75" customHeight="1">
      <c r="A369" s="39" t="s">
        <v>192</v>
      </c>
      <c r="B369" s="39" t="s">
        <v>193</v>
      </c>
      <c r="C369" s="39" t="s">
        <v>665</v>
      </c>
      <c r="D369" s="39" t="s">
        <v>195</v>
      </c>
      <c r="E369" s="39" t="s">
        <v>666</v>
      </c>
      <c r="F369" s="39" t="s">
        <v>99</v>
      </c>
      <c r="G369" s="39" t="s">
        <v>667</v>
      </c>
      <c r="H369" s="39" t="s">
        <v>135</v>
      </c>
      <c r="I369" s="39" t="s">
        <v>668</v>
      </c>
      <c r="J369" s="39" t="s">
        <v>669</v>
      </c>
    </row>
    <row r="370" ht="15.75" customHeight="1">
      <c r="A370" s="41" t="s">
        <v>201</v>
      </c>
      <c r="B370" s="41" t="s">
        <v>470</v>
      </c>
      <c r="C370" s="93"/>
      <c r="D370" s="93"/>
      <c r="E370" s="93"/>
      <c r="F370" s="93"/>
      <c r="G370" s="93"/>
      <c r="H370" s="93"/>
      <c r="I370" s="93"/>
      <c r="J370" s="93"/>
    </row>
    <row r="371" ht="15.75" customHeight="1">
      <c r="A371" s="41" t="s">
        <v>203</v>
      </c>
      <c r="B371" s="41" t="s">
        <v>471</v>
      </c>
      <c r="C371" s="93"/>
      <c r="D371" s="93"/>
      <c r="E371" s="93"/>
      <c r="F371" s="93"/>
      <c r="G371" s="93"/>
      <c r="H371" s="93"/>
      <c r="I371" s="93"/>
      <c r="J371" s="93"/>
    </row>
    <row r="372" ht="15.75" customHeight="1">
      <c r="A372" s="41" t="s">
        <v>204</v>
      </c>
      <c r="B372" s="41" t="s">
        <v>472</v>
      </c>
      <c r="C372" s="93"/>
      <c r="D372" s="93"/>
      <c r="E372" s="93"/>
      <c r="F372" s="93"/>
      <c r="G372" s="93"/>
      <c r="H372" s="93"/>
      <c r="I372" s="93"/>
      <c r="J372" s="93"/>
    </row>
    <row r="373" ht="15.75" customHeight="1">
      <c r="A373" s="41" t="s">
        <v>205</v>
      </c>
      <c r="B373" s="41" t="s">
        <v>473</v>
      </c>
      <c r="C373" s="93"/>
      <c r="D373" s="93"/>
      <c r="E373" s="93"/>
      <c r="F373" s="93"/>
      <c r="G373" s="93"/>
      <c r="H373" s="93"/>
      <c r="I373" s="93"/>
      <c r="J373" s="93"/>
    </row>
    <row r="374" ht="15.75" customHeight="1">
      <c r="A374" s="41" t="s">
        <v>206</v>
      </c>
      <c r="B374" s="41" t="s">
        <v>474</v>
      </c>
      <c r="C374" s="93"/>
      <c r="D374" s="93"/>
      <c r="E374" s="93"/>
      <c r="F374" s="93"/>
      <c r="G374" s="93"/>
      <c r="H374" s="93"/>
      <c r="I374" s="93"/>
      <c r="J374" s="93"/>
    </row>
    <row r="375" ht="15.75" customHeight="1">
      <c r="A375" s="89" t="s">
        <v>207</v>
      </c>
      <c r="B375" s="89" t="s">
        <v>475</v>
      </c>
      <c r="C375" s="90"/>
      <c r="D375" s="90"/>
      <c r="E375" s="90"/>
      <c r="F375" s="90"/>
      <c r="G375" s="90"/>
      <c r="H375" s="90"/>
      <c r="I375" s="90"/>
      <c r="J375" s="90"/>
    </row>
    <row r="376" ht="15.75" customHeight="1">
      <c r="A376" s="89" t="s">
        <v>209</v>
      </c>
      <c r="B376" s="89" t="s">
        <v>476</v>
      </c>
      <c r="C376" s="90"/>
      <c r="D376" s="90"/>
      <c r="E376" s="90"/>
      <c r="F376" s="90"/>
      <c r="G376" s="90"/>
      <c r="H376" s="90"/>
      <c r="I376" s="90"/>
      <c r="J376" s="90"/>
    </row>
    <row r="377" ht="15.75" customHeight="1">
      <c r="A377" s="91" t="s">
        <v>211</v>
      </c>
      <c r="B377" s="92"/>
      <c r="C377" s="92"/>
      <c r="D377" s="92">
        <f t="shared" ref="D377:J377" si="34">SUM(D370:D376)</f>
        <v>0</v>
      </c>
      <c r="E377" s="92">
        <f t="shared" si="34"/>
        <v>0</v>
      </c>
      <c r="F377" s="92">
        <f t="shared" si="34"/>
        <v>0</v>
      </c>
      <c r="G377" s="92">
        <f t="shared" si="34"/>
        <v>0</v>
      </c>
      <c r="H377" s="92">
        <f t="shared" si="34"/>
        <v>0</v>
      </c>
      <c r="I377" s="92">
        <f t="shared" si="34"/>
        <v>0</v>
      </c>
      <c r="J377" s="92">
        <f t="shared" si="34"/>
        <v>0</v>
      </c>
    </row>
    <row r="378" ht="15.75" customHeight="1"/>
    <row r="379" ht="15.75" customHeight="1">
      <c r="A379" s="87" t="s">
        <v>477</v>
      </c>
      <c r="B379" s="37"/>
      <c r="C379" s="37"/>
      <c r="D379" s="37"/>
      <c r="E379" s="37"/>
      <c r="F379" s="37"/>
      <c r="G379" s="37"/>
      <c r="H379" s="37"/>
      <c r="I379" s="37"/>
      <c r="J379" s="38"/>
    </row>
    <row r="380" ht="15.75" customHeight="1">
      <c r="A380" s="39" t="s">
        <v>192</v>
      </c>
      <c r="B380" s="39" t="s">
        <v>193</v>
      </c>
      <c r="C380" s="39" t="s">
        <v>665</v>
      </c>
      <c r="D380" s="39" t="s">
        <v>195</v>
      </c>
      <c r="E380" s="39" t="s">
        <v>666</v>
      </c>
      <c r="F380" s="39" t="s">
        <v>99</v>
      </c>
      <c r="G380" s="39" t="s">
        <v>667</v>
      </c>
      <c r="H380" s="39" t="s">
        <v>135</v>
      </c>
      <c r="I380" s="39" t="s">
        <v>668</v>
      </c>
      <c r="J380" s="39" t="s">
        <v>669</v>
      </c>
    </row>
    <row r="381" ht="15.75" customHeight="1">
      <c r="A381" s="41" t="s">
        <v>201</v>
      </c>
      <c r="B381" s="41" t="s">
        <v>478</v>
      </c>
      <c r="C381" s="93"/>
      <c r="D381" s="93"/>
      <c r="E381" s="93"/>
      <c r="F381" s="93"/>
      <c r="G381" s="93"/>
      <c r="H381" s="93"/>
      <c r="I381" s="93"/>
      <c r="J381" s="93"/>
    </row>
    <row r="382" ht="15.75" customHeight="1">
      <c r="A382" s="41" t="s">
        <v>203</v>
      </c>
      <c r="B382" s="41" t="s">
        <v>479</v>
      </c>
      <c r="C382" s="93"/>
      <c r="D382" s="93"/>
      <c r="E382" s="93"/>
      <c r="F382" s="93"/>
      <c r="G382" s="93"/>
      <c r="H382" s="93"/>
      <c r="I382" s="93"/>
      <c r="J382" s="93"/>
    </row>
    <row r="383" ht="15.75" customHeight="1">
      <c r="A383" s="41" t="s">
        <v>204</v>
      </c>
      <c r="B383" s="41" t="s">
        <v>480</v>
      </c>
      <c r="C383" s="93"/>
      <c r="D383" s="93"/>
      <c r="E383" s="93"/>
      <c r="F383" s="93"/>
      <c r="G383" s="93"/>
      <c r="H383" s="93"/>
      <c r="I383" s="93"/>
      <c r="J383" s="93"/>
    </row>
    <row r="384" ht="15.75" customHeight="1">
      <c r="A384" s="41" t="s">
        <v>205</v>
      </c>
      <c r="B384" s="41" t="s">
        <v>481</v>
      </c>
      <c r="C384" s="93"/>
      <c r="D384" s="93"/>
      <c r="E384" s="93"/>
      <c r="F384" s="93"/>
      <c r="G384" s="93"/>
      <c r="H384" s="93"/>
      <c r="I384" s="93"/>
      <c r="J384" s="93"/>
    </row>
    <row r="385" ht="15.75" customHeight="1">
      <c r="A385" s="41" t="s">
        <v>206</v>
      </c>
      <c r="B385" s="41" t="s">
        <v>482</v>
      </c>
      <c r="C385" s="93"/>
      <c r="D385" s="93"/>
      <c r="E385" s="93"/>
      <c r="F385" s="93"/>
      <c r="G385" s="93"/>
      <c r="H385" s="93"/>
      <c r="I385" s="93"/>
      <c r="J385" s="93"/>
    </row>
    <row r="386" ht="15.75" customHeight="1">
      <c r="A386" s="89" t="s">
        <v>207</v>
      </c>
      <c r="B386" s="89" t="s">
        <v>483</v>
      </c>
      <c r="C386" s="90"/>
      <c r="D386" s="90"/>
      <c r="E386" s="90"/>
      <c r="F386" s="90"/>
      <c r="G386" s="90"/>
      <c r="H386" s="90"/>
      <c r="I386" s="90"/>
      <c r="J386" s="90"/>
    </row>
    <row r="387" ht="15.75" customHeight="1">
      <c r="A387" s="89" t="s">
        <v>209</v>
      </c>
      <c r="B387" s="89" t="s">
        <v>484</v>
      </c>
      <c r="C387" s="90"/>
      <c r="D387" s="90"/>
      <c r="E387" s="90"/>
      <c r="F387" s="90"/>
      <c r="G387" s="90"/>
      <c r="H387" s="90"/>
      <c r="I387" s="90"/>
      <c r="J387" s="90"/>
    </row>
    <row r="388" ht="15.75" customHeight="1">
      <c r="A388" s="91" t="s">
        <v>211</v>
      </c>
      <c r="B388" s="92"/>
      <c r="C388" s="92"/>
      <c r="D388" s="92">
        <f t="shared" ref="D388:J388" si="35">SUM(D381:D387)</f>
        <v>0</v>
      </c>
      <c r="E388" s="92">
        <f t="shared" si="35"/>
        <v>0</v>
      </c>
      <c r="F388" s="92">
        <f t="shared" si="35"/>
        <v>0</v>
      </c>
      <c r="G388" s="92">
        <f t="shared" si="35"/>
        <v>0</v>
      </c>
      <c r="H388" s="92">
        <f t="shared" si="35"/>
        <v>0</v>
      </c>
      <c r="I388" s="92">
        <f t="shared" si="35"/>
        <v>0</v>
      </c>
      <c r="J388" s="92">
        <f t="shared" si="35"/>
        <v>0</v>
      </c>
    </row>
    <row r="389" ht="15.75" customHeight="1"/>
    <row r="390" ht="15.75" customHeight="1">
      <c r="A390" s="87" t="s">
        <v>485</v>
      </c>
      <c r="B390" s="37"/>
      <c r="C390" s="37"/>
      <c r="D390" s="37"/>
      <c r="E390" s="37"/>
      <c r="F390" s="37"/>
      <c r="G390" s="37"/>
      <c r="H390" s="37"/>
      <c r="I390" s="37"/>
      <c r="J390" s="38"/>
    </row>
    <row r="391" ht="15.75" customHeight="1">
      <c r="A391" s="39" t="s">
        <v>192</v>
      </c>
      <c r="B391" s="39" t="s">
        <v>193</v>
      </c>
      <c r="C391" s="39" t="s">
        <v>665</v>
      </c>
      <c r="D391" s="39" t="s">
        <v>195</v>
      </c>
      <c r="E391" s="39" t="s">
        <v>666</v>
      </c>
      <c r="F391" s="39" t="s">
        <v>99</v>
      </c>
      <c r="G391" s="39" t="s">
        <v>667</v>
      </c>
      <c r="H391" s="39" t="s">
        <v>135</v>
      </c>
      <c r="I391" s="39" t="s">
        <v>668</v>
      </c>
      <c r="J391" s="39" t="s">
        <v>669</v>
      </c>
    </row>
    <row r="392" ht="15.75" customHeight="1">
      <c r="A392" s="41" t="s">
        <v>201</v>
      </c>
      <c r="B392" s="41" t="s">
        <v>486</v>
      </c>
      <c r="C392" s="93"/>
      <c r="D392" s="93"/>
      <c r="E392" s="93"/>
      <c r="F392" s="93"/>
      <c r="G392" s="93"/>
      <c r="H392" s="93"/>
      <c r="I392" s="93"/>
      <c r="J392" s="93"/>
    </row>
    <row r="393" ht="15.75" customHeight="1">
      <c r="A393" s="41" t="s">
        <v>203</v>
      </c>
      <c r="B393" s="41" t="s">
        <v>487</v>
      </c>
      <c r="C393" s="93"/>
      <c r="D393" s="93"/>
      <c r="E393" s="93"/>
      <c r="F393" s="93"/>
      <c r="G393" s="93"/>
      <c r="H393" s="93"/>
      <c r="I393" s="93"/>
      <c r="J393" s="93"/>
    </row>
    <row r="394" ht="15.75" customHeight="1">
      <c r="A394" s="41" t="s">
        <v>204</v>
      </c>
      <c r="B394" s="41" t="s">
        <v>488</v>
      </c>
      <c r="C394" s="93"/>
      <c r="D394" s="93"/>
      <c r="E394" s="93"/>
      <c r="F394" s="93"/>
      <c r="G394" s="93"/>
      <c r="H394" s="93"/>
      <c r="I394" s="93"/>
      <c r="J394" s="93"/>
    </row>
    <row r="395" ht="15.75" customHeight="1">
      <c r="A395" s="41" t="s">
        <v>205</v>
      </c>
      <c r="B395" s="41" t="s">
        <v>489</v>
      </c>
      <c r="C395" s="93"/>
      <c r="D395" s="93"/>
      <c r="E395" s="93"/>
      <c r="F395" s="93"/>
      <c r="G395" s="93"/>
      <c r="H395" s="93"/>
      <c r="I395" s="93"/>
      <c r="J395" s="93"/>
    </row>
    <row r="396" ht="15.75" customHeight="1">
      <c r="A396" s="41" t="s">
        <v>206</v>
      </c>
      <c r="B396" s="41" t="s">
        <v>490</v>
      </c>
      <c r="C396" s="93"/>
      <c r="D396" s="93"/>
      <c r="E396" s="93"/>
      <c r="F396" s="93"/>
      <c r="G396" s="93"/>
      <c r="H396" s="93"/>
      <c r="I396" s="93"/>
      <c r="J396" s="93"/>
    </row>
    <row r="397" ht="15.75" customHeight="1">
      <c r="A397" s="89" t="s">
        <v>207</v>
      </c>
      <c r="B397" s="89" t="s">
        <v>491</v>
      </c>
      <c r="C397" s="90"/>
      <c r="D397" s="90"/>
      <c r="E397" s="90"/>
      <c r="F397" s="90"/>
      <c r="G397" s="90"/>
      <c r="H397" s="90"/>
      <c r="I397" s="90"/>
      <c r="J397" s="90"/>
    </row>
    <row r="398" ht="15.75" customHeight="1">
      <c r="A398" s="89" t="s">
        <v>209</v>
      </c>
      <c r="B398" s="89" t="s">
        <v>492</v>
      </c>
      <c r="C398" s="90"/>
      <c r="D398" s="90"/>
      <c r="E398" s="90"/>
      <c r="F398" s="90"/>
      <c r="G398" s="90"/>
      <c r="H398" s="90"/>
      <c r="I398" s="90"/>
      <c r="J398" s="90"/>
    </row>
    <row r="399" ht="15.75" customHeight="1">
      <c r="A399" s="91" t="s">
        <v>211</v>
      </c>
      <c r="B399" s="92"/>
      <c r="C399" s="92"/>
      <c r="D399" s="92">
        <f t="shared" ref="D399:J399" si="36">SUM(D392:D398)</f>
        <v>0</v>
      </c>
      <c r="E399" s="92">
        <f t="shared" si="36"/>
        <v>0</v>
      </c>
      <c r="F399" s="92">
        <f t="shared" si="36"/>
        <v>0</v>
      </c>
      <c r="G399" s="92">
        <f t="shared" si="36"/>
        <v>0</v>
      </c>
      <c r="H399" s="92">
        <f t="shared" si="36"/>
        <v>0</v>
      </c>
      <c r="I399" s="92">
        <f t="shared" si="36"/>
        <v>0</v>
      </c>
      <c r="J399" s="92">
        <f t="shared" si="36"/>
        <v>0</v>
      </c>
    </row>
    <row r="400" ht="15.75" customHeight="1"/>
    <row r="401" ht="15.75" customHeight="1">
      <c r="A401" s="87" t="s">
        <v>493</v>
      </c>
      <c r="B401" s="37"/>
      <c r="C401" s="37"/>
      <c r="D401" s="37"/>
      <c r="E401" s="37"/>
      <c r="F401" s="37"/>
      <c r="G401" s="37"/>
      <c r="H401" s="37"/>
      <c r="I401" s="37"/>
      <c r="J401" s="38"/>
    </row>
    <row r="402" ht="15.75" customHeight="1">
      <c r="A402" s="39" t="s">
        <v>192</v>
      </c>
      <c r="B402" s="39" t="s">
        <v>193</v>
      </c>
      <c r="C402" s="39" t="s">
        <v>665</v>
      </c>
      <c r="D402" s="39" t="s">
        <v>195</v>
      </c>
      <c r="E402" s="39" t="s">
        <v>666</v>
      </c>
      <c r="F402" s="39" t="s">
        <v>99</v>
      </c>
      <c r="G402" s="39" t="s">
        <v>667</v>
      </c>
      <c r="H402" s="39" t="s">
        <v>135</v>
      </c>
      <c r="I402" s="39" t="s">
        <v>668</v>
      </c>
      <c r="J402" s="39" t="s">
        <v>669</v>
      </c>
    </row>
    <row r="403" ht="15.75" customHeight="1">
      <c r="A403" s="41" t="s">
        <v>201</v>
      </c>
      <c r="B403" s="41" t="s">
        <v>494</v>
      </c>
      <c r="C403" s="93"/>
      <c r="D403" s="93"/>
      <c r="E403" s="93"/>
      <c r="F403" s="93"/>
      <c r="G403" s="93"/>
      <c r="H403" s="93"/>
      <c r="I403" s="93"/>
      <c r="J403" s="93"/>
    </row>
    <row r="404" ht="15.75" customHeight="1">
      <c r="A404" s="41" t="s">
        <v>203</v>
      </c>
      <c r="B404" s="41" t="s">
        <v>495</v>
      </c>
      <c r="C404" s="93"/>
      <c r="D404" s="93"/>
      <c r="E404" s="93"/>
      <c r="F404" s="93"/>
      <c r="G404" s="93"/>
      <c r="H404" s="93"/>
      <c r="I404" s="93"/>
      <c r="J404" s="93"/>
    </row>
    <row r="405" ht="15.75" customHeight="1">
      <c r="A405" s="41" t="s">
        <v>204</v>
      </c>
      <c r="B405" s="41" t="s">
        <v>496</v>
      </c>
      <c r="C405" s="93"/>
      <c r="D405" s="93"/>
      <c r="E405" s="93"/>
      <c r="F405" s="93"/>
      <c r="G405" s="93"/>
      <c r="H405" s="93"/>
      <c r="I405" s="93"/>
      <c r="J405" s="93"/>
    </row>
    <row r="406" ht="15.75" customHeight="1">
      <c r="A406" s="41" t="s">
        <v>205</v>
      </c>
      <c r="B406" s="41" t="s">
        <v>497</v>
      </c>
      <c r="C406" s="93"/>
      <c r="D406" s="93"/>
      <c r="E406" s="93"/>
      <c r="F406" s="93"/>
      <c r="G406" s="93"/>
      <c r="H406" s="93"/>
      <c r="I406" s="93"/>
      <c r="J406" s="93"/>
    </row>
    <row r="407" ht="15.75" customHeight="1">
      <c r="A407" s="41" t="s">
        <v>206</v>
      </c>
      <c r="B407" s="41" t="s">
        <v>498</v>
      </c>
      <c r="C407" s="93"/>
      <c r="D407" s="93"/>
      <c r="E407" s="93"/>
      <c r="F407" s="93"/>
      <c r="G407" s="93"/>
      <c r="H407" s="93"/>
      <c r="I407" s="93"/>
      <c r="J407" s="93"/>
    </row>
    <row r="408" ht="15.75" customHeight="1">
      <c r="A408" s="89" t="s">
        <v>207</v>
      </c>
      <c r="B408" s="89" t="s">
        <v>499</v>
      </c>
      <c r="C408" s="90"/>
      <c r="D408" s="90"/>
      <c r="E408" s="90"/>
      <c r="F408" s="90"/>
      <c r="G408" s="90"/>
      <c r="H408" s="90"/>
      <c r="I408" s="90"/>
      <c r="J408" s="90"/>
    </row>
    <row r="409" ht="15.75" customHeight="1">
      <c r="A409" s="89" t="s">
        <v>209</v>
      </c>
      <c r="B409" s="89" t="s">
        <v>500</v>
      </c>
      <c r="C409" s="90"/>
      <c r="D409" s="90"/>
      <c r="E409" s="90"/>
      <c r="F409" s="90"/>
      <c r="G409" s="90"/>
      <c r="H409" s="90"/>
      <c r="I409" s="90"/>
      <c r="J409" s="90"/>
    </row>
    <row r="410" ht="15.75" customHeight="1">
      <c r="A410" s="91" t="s">
        <v>211</v>
      </c>
      <c r="B410" s="92"/>
      <c r="C410" s="92"/>
      <c r="D410" s="92">
        <f t="shared" ref="D410:J410" si="37">SUM(D403:D409)</f>
        <v>0</v>
      </c>
      <c r="E410" s="92">
        <f t="shared" si="37"/>
        <v>0</v>
      </c>
      <c r="F410" s="92">
        <f t="shared" si="37"/>
        <v>0</v>
      </c>
      <c r="G410" s="92">
        <f t="shared" si="37"/>
        <v>0</v>
      </c>
      <c r="H410" s="92">
        <f t="shared" si="37"/>
        <v>0</v>
      </c>
      <c r="I410" s="92">
        <f t="shared" si="37"/>
        <v>0</v>
      </c>
      <c r="J410" s="92">
        <f t="shared" si="37"/>
        <v>0</v>
      </c>
    </row>
    <row r="411" ht="15.75" customHeight="1"/>
    <row r="412" ht="15.75" customHeight="1">
      <c r="A412" s="87" t="s">
        <v>501</v>
      </c>
      <c r="B412" s="37"/>
      <c r="C412" s="37"/>
      <c r="D412" s="37"/>
      <c r="E412" s="37"/>
      <c r="F412" s="37"/>
      <c r="G412" s="37"/>
      <c r="H412" s="37"/>
      <c r="I412" s="37"/>
      <c r="J412" s="38"/>
    </row>
    <row r="413" ht="15.75" customHeight="1">
      <c r="A413" s="39" t="s">
        <v>192</v>
      </c>
      <c r="B413" s="39" t="s">
        <v>193</v>
      </c>
      <c r="C413" s="39" t="s">
        <v>665</v>
      </c>
      <c r="D413" s="39" t="s">
        <v>195</v>
      </c>
      <c r="E413" s="39" t="s">
        <v>666</v>
      </c>
      <c r="F413" s="39" t="s">
        <v>99</v>
      </c>
      <c r="G413" s="39" t="s">
        <v>667</v>
      </c>
      <c r="H413" s="39" t="s">
        <v>135</v>
      </c>
      <c r="I413" s="39" t="s">
        <v>668</v>
      </c>
      <c r="J413" s="39" t="s">
        <v>669</v>
      </c>
    </row>
    <row r="414" ht="15.75" customHeight="1">
      <c r="A414" s="41" t="s">
        <v>201</v>
      </c>
      <c r="B414" s="41" t="s">
        <v>502</v>
      </c>
      <c r="C414" s="93"/>
      <c r="D414" s="93"/>
      <c r="E414" s="93"/>
      <c r="F414" s="93"/>
      <c r="G414" s="93"/>
      <c r="H414" s="93"/>
      <c r="I414" s="93"/>
      <c r="J414" s="93"/>
    </row>
    <row r="415" ht="15.75" customHeight="1">
      <c r="A415" s="41" t="s">
        <v>203</v>
      </c>
      <c r="B415" s="41" t="s">
        <v>503</v>
      </c>
      <c r="C415" s="93"/>
      <c r="D415" s="93"/>
      <c r="E415" s="93"/>
      <c r="F415" s="93"/>
      <c r="G415" s="93"/>
      <c r="H415" s="93"/>
      <c r="I415" s="93"/>
      <c r="J415" s="93"/>
    </row>
    <row r="416" ht="15.75" customHeight="1">
      <c r="A416" s="41" t="s">
        <v>204</v>
      </c>
      <c r="B416" s="41" t="s">
        <v>504</v>
      </c>
      <c r="C416" s="93"/>
      <c r="D416" s="93"/>
      <c r="E416" s="93"/>
      <c r="F416" s="93"/>
      <c r="G416" s="93"/>
      <c r="H416" s="93"/>
      <c r="I416" s="93"/>
      <c r="J416" s="93"/>
    </row>
    <row r="417" ht="15.75" customHeight="1">
      <c r="A417" s="41" t="s">
        <v>205</v>
      </c>
      <c r="B417" s="41" t="s">
        <v>505</v>
      </c>
      <c r="C417" s="93"/>
      <c r="D417" s="93"/>
      <c r="E417" s="93"/>
      <c r="F417" s="93"/>
      <c r="G417" s="93"/>
      <c r="H417" s="93"/>
      <c r="I417" s="93"/>
      <c r="J417" s="93"/>
    </row>
    <row r="418" ht="15.75" customHeight="1">
      <c r="A418" s="41" t="s">
        <v>206</v>
      </c>
      <c r="B418" s="41" t="s">
        <v>506</v>
      </c>
      <c r="C418" s="93"/>
      <c r="D418" s="93"/>
      <c r="E418" s="93"/>
      <c r="F418" s="93"/>
      <c r="G418" s="93"/>
      <c r="H418" s="93"/>
      <c r="I418" s="93"/>
      <c r="J418" s="93"/>
    </row>
    <row r="419" ht="15.75" customHeight="1">
      <c r="A419" s="89" t="s">
        <v>207</v>
      </c>
      <c r="B419" s="89" t="s">
        <v>507</v>
      </c>
      <c r="C419" s="90"/>
      <c r="D419" s="90"/>
      <c r="E419" s="90"/>
      <c r="F419" s="90"/>
      <c r="G419" s="90"/>
      <c r="H419" s="90"/>
      <c r="I419" s="90"/>
      <c r="J419" s="90"/>
    </row>
    <row r="420" ht="15.75" customHeight="1">
      <c r="A420" s="89" t="s">
        <v>209</v>
      </c>
      <c r="B420" s="89" t="s">
        <v>508</v>
      </c>
      <c r="C420" s="90"/>
      <c r="D420" s="90"/>
      <c r="E420" s="90"/>
      <c r="F420" s="90"/>
      <c r="G420" s="90"/>
      <c r="H420" s="90"/>
      <c r="I420" s="90"/>
      <c r="J420" s="90"/>
    </row>
    <row r="421" ht="15.75" customHeight="1">
      <c r="A421" s="91" t="s">
        <v>211</v>
      </c>
      <c r="B421" s="92"/>
      <c r="C421" s="92"/>
      <c r="D421" s="92">
        <f t="shared" ref="D421:J421" si="38">SUM(D414:D420)</f>
        <v>0</v>
      </c>
      <c r="E421" s="92">
        <f t="shared" si="38"/>
        <v>0</v>
      </c>
      <c r="F421" s="92">
        <f t="shared" si="38"/>
        <v>0</v>
      </c>
      <c r="G421" s="92">
        <f t="shared" si="38"/>
        <v>0</v>
      </c>
      <c r="H421" s="92">
        <f t="shared" si="38"/>
        <v>0</v>
      </c>
      <c r="I421" s="92">
        <f t="shared" si="38"/>
        <v>0</v>
      </c>
      <c r="J421" s="92">
        <f t="shared" si="38"/>
        <v>0</v>
      </c>
    </row>
    <row r="422" ht="15.75" customHeight="1"/>
    <row r="423" ht="15.75" customHeight="1">
      <c r="A423" s="87" t="s">
        <v>509</v>
      </c>
      <c r="B423" s="37"/>
      <c r="C423" s="37"/>
      <c r="D423" s="37"/>
      <c r="E423" s="37"/>
      <c r="F423" s="37"/>
      <c r="G423" s="37"/>
      <c r="H423" s="37"/>
      <c r="I423" s="37"/>
      <c r="J423" s="38"/>
    </row>
    <row r="424" ht="15.75" customHeight="1">
      <c r="A424" s="39" t="s">
        <v>192</v>
      </c>
      <c r="B424" s="39" t="s">
        <v>193</v>
      </c>
      <c r="C424" s="39" t="s">
        <v>665</v>
      </c>
      <c r="D424" s="39" t="s">
        <v>195</v>
      </c>
      <c r="E424" s="39" t="s">
        <v>666</v>
      </c>
      <c r="F424" s="39" t="s">
        <v>99</v>
      </c>
      <c r="G424" s="39" t="s">
        <v>667</v>
      </c>
      <c r="H424" s="39" t="s">
        <v>135</v>
      </c>
      <c r="I424" s="39" t="s">
        <v>668</v>
      </c>
      <c r="J424" s="39" t="s">
        <v>669</v>
      </c>
    </row>
    <row r="425" ht="15.75" customHeight="1">
      <c r="A425" s="41" t="s">
        <v>201</v>
      </c>
      <c r="B425" s="41" t="s">
        <v>510</v>
      </c>
      <c r="C425" s="93"/>
      <c r="D425" s="93"/>
      <c r="E425" s="93"/>
      <c r="F425" s="93"/>
      <c r="G425" s="93"/>
      <c r="H425" s="93"/>
      <c r="I425" s="93"/>
      <c r="J425" s="93"/>
    </row>
    <row r="426" ht="15.75" customHeight="1">
      <c r="A426" s="41" t="s">
        <v>203</v>
      </c>
      <c r="B426" s="41" t="s">
        <v>511</v>
      </c>
      <c r="C426" s="93"/>
      <c r="D426" s="93"/>
      <c r="E426" s="93"/>
      <c r="F426" s="93"/>
      <c r="G426" s="93"/>
      <c r="H426" s="93"/>
      <c r="I426" s="93"/>
      <c r="J426" s="93"/>
    </row>
    <row r="427" ht="15.75" customHeight="1">
      <c r="A427" s="41" t="s">
        <v>204</v>
      </c>
      <c r="B427" s="41" t="s">
        <v>512</v>
      </c>
      <c r="C427" s="93"/>
      <c r="D427" s="93"/>
      <c r="E427" s="93"/>
      <c r="F427" s="93"/>
      <c r="G427" s="93"/>
      <c r="H427" s="93"/>
      <c r="I427" s="93"/>
      <c r="J427" s="93"/>
    </row>
    <row r="428" ht="15.75" customHeight="1">
      <c r="A428" s="41" t="s">
        <v>205</v>
      </c>
      <c r="B428" s="41" t="s">
        <v>513</v>
      </c>
      <c r="C428" s="93"/>
      <c r="D428" s="93"/>
      <c r="E428" s="93"/>
      <c r="F428" s="93"/>
      <c r="G428" s="93"/>
      <c r="H428" s="93"/>
      <c r="I428" s="93"/>
      <c r="J428" s="93"/>
    </row>
    <row r="429" ht="15.75" customHeight="1">
      <c r="A429" s="41" t="s">
        <v>206</v>
      </c>
      <c r="B429" s="41" t="s">
        <v>514</v>
      </c>
      <c r="C429" s="93"/>
      <c r="D429" s="93"/>
      <c r="E429" s="93"/>
      <c r="F429" s="93"/>
      <c r="G429" s="93"/>
      <c r="H429" s="93"/>
      <c r="I429" s="93"/>
      <c r="J429" s="93"/>
    </row>
    <row r="430" ht="15.75" customHeight="1">
      <c r="A430" s="89" t="s">
        <v>207</v>
      </c>
      <c r="B430" s="89" t="s">
        <v>515</v>
      </c>
      <c r="C430" s="90"/>
      <c r="D430" s="90"/>
      <c r="E430" s="90"/>
      <c r="F430" s="90"/>
      <c r="G430" s="90"/>
      <c r="H430" s="90"/>
      <c r="I430" s="90"/>
      <c r="J430" s="90"/>
    </row>
    <row r="431" ht="15.75" customHeight="1">
      <c r="A431" s="89" t="s">
        <v>209</v>
      </c>
      <c r="B431" s="89" t="s">
        <v>516</v>
      </c>
      <c r="C431" s="90"/>
      <c r="D431" s="90"/>
      <c r="E431" s="90"/>
      <c r="F431" s="90"/>
      <c r="G431" s="90"/>
      <c r="H431" s="90"/>
      <c r="I431" s="90"/>
      <c r="J431" s="90"/>
    </row>
    <row r="432" ht="15.75" customHeight="1">
      <c r="A432" s="91" t="s">
        <v>211</v>
      </c>
      <c r="B432" s="92"/>
      <c r="C432" s="92"/>
      <c r="D432" s="92">
        <f t="shared" ref="D432:J432" si="39">SUM(D425:D431)</f>
        <v>0</v>
      </c>
      <c r="E432" s="92">
        <f t="shared" si="39"/>
        <v>0</v>
      </c>
      <c r="F432" s="92">
        <f t="shared" si="39"/>
        <v>0</v>
      </c>
      <c r="G432" s="92">
        <f t="shared" si="39"/>
        <v>0</v>
      </c>
      <c r="H432" s="92">
        <f t="shared" si="39"/>
        <v>0</v>
      </c>
      <c r="I432" s="92">
        <f t="shared" si="39"/>
        <v>0</v>
      </c>
      <c r="J432" s="92">
        <f t="shared" si="39"/>
        <v>0</v>
      </c>
    </row>
    <row r="433" ht="15.75" customHeight="1"/>
    <row r="434" ht="15.75" customHeight="1">
      <c r="A434" s="87" t="s">
        <v>517</v>
      </c>
      <c r="B434" s="37"/>
      <c r="C434" s="37"/>
      <c r="D434" s="37"/>
      <c r="E434" s="37"/>
      <c r="F434" s="37"/>
      <c r="G434" s="37"/>
      <c r="H434" s="37"/>
      <c r="I434" s="37"/>
      <c r="J434" s="38"/>
    </row>
    <row r="435" ht="15.75" customHeight="1">
      <c r="A435" s="39" t="s">
        <v>192</v>
      </c>
      <c r="B435" s="39" t="s">
        <v>193</v>
      </c>
      <c r="C435" s="39" t="s">
        <v>665</v>
      </c>
      <c r="D435" s="39" t="s">
        <v>195</v>
      </c>
      <c r="E435" s="39" t="s">
        <v>666</v>
      </c>
      <c r="F435" s="39" t="s">
        <v>99</v>
      </c>
      <c r="G435" s="39" t="s">
        <v>667</v>
      </c>
      <c r="H435" s="39" t="s">
        <v>135</v>
      </c>
      <c r="I435" s="39" t="s">
        <v>668</v>
      </c>
      <c r="J435" s="39" t="s">
        <v>669</v>
      </c>
    </row>
    <row r="436" ht="15.75" customHeight="1">
      <c r="A436" s="41" t="s">
        <v>201</v>
      </c>
      <c r="B436" s="41" t="s">
        <v>518</v>
      </c>
      <c r="C436" s="93"/>
      <c r="D436" s="93"/>
      <c r="E436" s="93"/>
      <c r="F436" s="93"/>
      <c r="G436" s="93"/>
      <c r="H436" s="93"/>
      <c r="I436" s="93"/>
      <c r="J436" s="93"/>
    </row>
    <row r="437" ht="15.75" customHeight="1">
      <c r="A437" s="41" t="s">
        <v>203</v>
      </c>
      <c r="B437" s="41" t="s">
        <v>519</v>
      </c>
      <c r="C437" s="93"/>
      <c r="D437" s="93"/>
      <c r="E437" s="93"/>
      <c r="F437" s="93"/>
      <c r="G437" s="93"/>
      <c r="H437" s="93"/>
      <c r="I437" s="93"/>
      <c r="J437" s="93"/>
    </row>
    <row r="438" ht="15.75" customHeight="1">
      <c r="A438" s="41" t="s">
        <v>204</v>
      </c>
      <c r="B438" s="41" t="s">
        <v>520</v>
      </c>
      <c r="C438" s="93"/>
      <c r="D438" s="93"/>
      <c r="E438" s="93"/>
      <c r="F438" s="93"/>
      <c r="G438" s="93"/>
      <c r="H438" s="93"/>
      <c r="I438" s="93"/>
      <c r="J438" s="93"/>
    </row>
    <row r="439" ht="15.75" customHeight="1">
      <c r="A439" s="41" t="s">
        <v>205</v>
      </c>
      <c r="B439" s="41" t="s">
        <v>521</v>
      </c>
      <c r="C439" s="93"/>
      <c r="D439" s="93"/>
      <c r="E439" s="93"/>
      <c r="F439" s="93"/>
      <c r="G439" s="93"/>
      <c r="H439" s="93"/>
      <c r="I439" s="93"/>
      <c r="J439" s="93"/>
    </row>
    <row r="440" ht="15.75" customHeight="1">
      <c r="A440" s="41" t="s">
        <v>206</v>
      </c>
      <c r="B440" s="41" t="s">
        <v>522</v>
      </c>
      <c r="C440" s="93"/>
      <c r="D440" s="93"/>
      <c r="E440" s="93"/>
      <c r="F440" s="93"/>
      <c r="G440" s="93"/>
      <c r="H440" s="93"/>
      <c r="I440" s="93"/>
      <c r="J440" s="93"/>
    </row>
    <row r="441" ht="15.75" customHeight="1">
      <c r="A441" s="89" t="s">
        <v>207</v>
      </c>
      <c r="B441" s="89" t="s">
        <v>523</v>
      </c>
      <c r="C441" s="90"/>
      <c r="D441" s="90"/>
      <c r="E441" s="90"/>
      <c r="F441" s="90"/>
      <c r="G441" s="90"/>
      <c r="H441" s="90"/>
      <c r="I441" s="90"/>
      <c r="J441" s="90"/>
    </row>
    <row r="442" ht="15.75" customHeight="1">
      <c r="A442" s="89" t="s">
        <v>209</v>
      </c>
      <c r="B442" s="89" t="s">
        <v>524</v>
      </c>
      <c r="C442" s="90"/>
      <c r="D442" s="90"/>
      <c r="E442" s="90"/>
      <c r="F442" s="90"/>
      <c r="G442" s="90"/>
      <c r="H442" s="90"/>
      <c r="I442" s="90"/>
      <c r="J442" s="90"/>
    </row>
    <row r="443" ht="15.75" customHeight="1">
      <c r="A443" s="91" t="s">
        <v>211</v>
      </c>
      <c r="B443" s="92"/>
      <c r="C443" s="92"/>
      <c r="D443" s="92">
        <f t="shared" ref="D443:J443" si="40">SUM(D436:D442)</f>
        <v>0</v>
      </c>
      <c r="E443" s="92">
        <f t="shared" si="40"/>
        <v>0</v>
      </c>
      <c r="F443" s="92">
        <f t="shared" si="40"/>
        <v>0</v>
      </c>
      <c r="G443" s="92">
        <f t="shared" si="40"/>
        <v>0</v>
      </c>
      <c r="H443" s="92">
        <f t="shared" si="40"/>
        <v>0</v>
      </c>
      <c r="I443" s="92">
        <f t="shared" si="40"/>
        <v>0</v>
      </c>
      <c r="J443" s="92">
        <f t="shared" si="40"/>
        <v>0</v>
      </c>
    </row>
    <row r="444" ht="15.75" customHeight="1"/>
    <row r="445" ht="15.75" customHeight="1">
      <c r="A445" s="87" t="s">
        <v>525</v>
      </c>
      <c r="B445" s="37"/>
      <c r="C445" s="37"/>
      <c r="D445" s="37"/>
      <c r="E445" s="37"/>
      <c r="F445" s="37"/>
      <c r="G445" s="37"/>
      <c r="H445" s="37"/>
      <c r="I445" s="37"/>
      <c r="J445" s="38"/>
    </row>
    <row r="446" ht="15.75" customHeight="1">
      <c r="A446" s="39" t="s">
        <v>192</v>
      </c>
      <c r="B446" s="39" t="s">
        <v>193</v>
      </c>
      <c r="C446" s="39" t="s">
        <v>665</v>
      </c>
      <c r="D446" s="39" t="s">
        <v>195</v>
      </c>
      <c r="E446" s="39" t="s">
        <v>666</v>
      </c>
      <c r="F446" s="39" t="s">
        <v>99</v>
      </c>
      <c r="G446" s="39" t="s">
        <v>667</v>
      </c>
      <c r="H446" s="39" t="s">
        <v>135</v>
      </c>
      <c r="I446" s="39" t="s">
        <v>668</v>
      </c>
      <c r="J446" s="39" t="s">
        <v>669</v>
      </c>
    </row>
    <row r="447" ht="15.75" customHeight="1">
      <c r="A447" s="41" t="s">
        <v>201</v>
      </c>
      <c r="B447" s="41" t="s">
        <v>526</v>
      </c>
      <c r="C447" s="93"/>
      <c r="D447" s="93"/>
      <c r="E447" s="93"/>
      <c r="F447" s="93"/>
      <c r="G447" s="93"/>
      <c r="H447" s="93"/>
      <c r="I447" s="93"/>
      <c r="J447" s="93"/>
    </row>
    <row r="448" ht="15.75" customHeight="1">
      <c r="A448" s="41" t="s">
        <v>203</v>
      </c>
      <c r="B448" s="41" t="s">
        <v>527</v>
      </c>
      <c r="C448" s="93"/>
      <c r="D448" s="93"/>
      <c r="E448" s="93"/>
      <c r="F448" s="93"/>
      <c r="G448" s="93"/>
      <c r="H448" s="93"/>
      <c r="I448" s="93"/>
      <c r="J448" s="93"/>
    </row>
    <row r="449" ht="15.75" customHeight="1">
      <c r="A449" s="41" t="s">
        <v>204</v>
      </c>
      <c r="B449" s="41" t="s">
        <v>528</v>
      </c>
      <c r="C449" s="93"/>
      <c r="D449" s="93"/>
      <c r="E449" s="93"/>
      <c r="F449" s="93"/>
      <c r="G449" s="93"/>
      <c r="H449" s="93"/>
      <c r="I449" s="93"/>
      <c r="J449" s="93"/>
    </row>
    <row r="450" ht="15.75" customHeight="1">
      <c r="A450" s="41" t="s">
        <v>205</v>
      </c>
      <c r="B450" s="41" t="s">
        <v>529</v>
      </c>
      <c r="C450" s="93"/>
      <c r="D450" s="93"/>
      <c r="E450" s="93"/>
      <c r="F450" s="93"/>
      <c r="G450" s="93"/>
      <c r="H450" s="93"/>
      <c r="I450" s="93"/>
      <c r="J450" s="93"/>
    </row>
    <row r="451" ht="15.75" customHeight="1">
      <c r="A451" s="41" t="s">
        <v>206</v>
      </c>
      <c r="B451" s="41" t="s">
        <v>530</v>
      </c>
      <c r="C451" s="93"/>
      <c r="D451" s="93"/>
      <c r="E451" s="93"/>
      <c r="F451" s="93"/>
      <c r="G451" s="93"/>
      <c r="H451" s="93"/>
      <c r="I451" s="93"/>
      <c r="J451" s="93"/>
    </row>
    <row r="452" ht="15.75" customHeight="1">
      <c r="A452" s="89" t="s">
        <v>207</v>
      </c>
      <c r="B452" s="89" t="s">
        <v>531</v>
      </c>
      <c r="C452" s="90"/>
      <c r="D452" s="90"/>
      <c r="E452" s="90"/>
      <c r="F452" s="90"/>
      <c r="G452" s="90"/>
      <c r="H452" s="90"/>
      <c r="I452" s="90"/>
      <c r="J452" s="90"/>
    </row>
    <row r="453" ht="15.75" customHeight="1">
      <c r="A453" s="89" t="s">
        <v>209</v>
      </c>
      <c r="B453" s="89" t="s">
        <v>532</v>
      </c>
      <c r="C453" s="90"/>
      <c r="D453" s="90"/>
      <c r="E453" s="90"/>
      <c r="F453" s="90"/>
      <c r="G453" s="90"/>
      <c r="H453" s="90"/>
      <c r="I453" s="90"/>
      <c r="J453" s="90"/>
    </row>
    <row r="454" ht="15.75" customHeight="1">
      <c r="A454" s="91" t="s">
        <v>211</v>
      </c>
      <c r="B454" s="92"/>
      <c r="C454" s="92"/>
      <c r="D454" s="92">
        <f t="shared" ref="D454:J454" si="41">SUM(D447:D453)</f>
        <v>0</v>
      </c>
      <c r="E454" s="92">
        <f t="shared" si="41"/>
        <v>0</v>
      </c>
      <c r="F454" s="92">
        <f t="shared" si="41"/>
        <v>0</v>
      </c>
      <c r="G454" s="92">
        <f t="shared" si="41"/>
        <v>0</v>
      </c>
      <c r="H454" s="92">
        <f t="shared" si="41"/>
        <v>0</v>
      </c>
      <c r="I454" s="92">
        <f t="shared" si="41"/>
        <v>0</v>
      </c>
      <c r="J454" s="92">
        <f t="shared" si="41"/>
        <v>0</v>
      </c>
    </row>
    <row r="455" ht="15.75" customHeight="1"/>
    <row r="456" ht="15.75" customHeight="1">
      <c r="A456" s="87" t="s">
        <v>533</v>
      </c>
      <c r="B456" s="37"/>
      <c r="C456" s="37"/>
      <c r="D456" s="37"/>
      <c r="E456" s="37"/>
      <c r="F456" s="37"/>
      <c r="G456" s="37"/>
      <c r="H456" s="37"/>
      <c r="I456" s="37"/>
      <c r="J456" s="38"/>
    </row>
    <row r="457" ht="15.75" customHeight="1">
      <c r="A457" s="39" t="s">
        <v>192</v>
      </c>
      <c r="B457" s="39" t="s">
        <v>193</v>
      </c>
      <c r="C457" s="39" t="s">
        <v>665</v>
      </c>
      <c r="D457" s="39" t="s">
        <v>195</v>
      </c>
      <c r="E457" s="39" t="s">
        <v>666</v>
      </c>
      <c r="F457" s="39" t="s">
        <v>99</v>
      </c>
      <c r="G457" s="39" t="s">
        <v>667</v>
      </c>
      <c r="H457" s="39" t="s">
        <v>135</v>
      </c>
      <c r="I457" s="39" t="s">
        <v>668</v>
      </c>
      <c r="J457" s="39" t="s">
        <v>669</v>
      </c>
    </row>
    <row r="458" ht="15.75" customHeight="1">
      <c r="A458" s="41" t="s">
        <v>201</v>
      </c>
      <c r="B458" s="41" t="s">
        <v>534</v>
      </c>
      <c r="C458" s="93"/>
      <c r="D458" s="93"/>
      <c r="E458" s="93"/>
      <c r="F458" s="93"/>
      <c r="G458" s="93"/>
      <c r="H458" s="93"/>
      <c r="I458" s="93"/>
      <c r="J458" s="93"/>
    </row>
    <row r="459" ht="15.75" customHeight="1">
      <c r="A459" s="41" t="s">
        <v>203</v>
      </c>
      <c r="B459" s="41" t="s">
        <v>535</v>
      </c>
      <c r="C459" s="93"/>
      <c r="D459" s="93"/>
      <c r="E459" s="93"/>
      <c r="F459" s="93"/>
      <c r="G459" s="93"/>
      <c r="H459" s="93"/>
      <c r="I459" s="93"/>
      <c r="J459" s="93"/>
    </row>
    <row r="460" ht="15.75" customHeight="1">
      <c r="A460" s="41" t="s">
        <v>204</v>
      </c>
      <c r="B460" s="41" t="s">
        <v>536</v>
      </c>
      <c r="C460" s="93"/>
      <c r="D460" s="93"/>
      <c r="E460" s="93"/>
      <c r="F460" s="93"/>
      <c r="G460" s="93"/>
      <c r="H460" s="93"/>
      <c r="I460" s="93"/>
      <c r="J460" s="93"/>
    </row>
    <row r="461" ht="15.75" customHeight="1">
      <c r="A461" s="41" t="s">
        <v>205</v>
      </c>
      <c r="B461" s="41" t="s">
        <v>537</v>
      </c>
      <c r="C461" s="93"/>
      <c r="D461" s="93"/>
      <c r="E461" s="93"/>
      <c r="F461" s="93"/>
      <c r="G461" s="93"/>
      <c r="H461" s="93"/>
      <c r="I461" s="93"/>
      <c r="J461" s="93"/>
    </row>
    <row r="462" ht="15.75" customHeight="1">
      <c r="A462" s="41" t="s">
        <v>206</v>
      </c>
      <c r="B462" s="41" t="s">
        <v>538</v>
      </c>
      <c r="C462" s="93"/>
      <c r="D462" s="93"/>
      <c r="E462" s="93"/>
      <c r="F462" s="93"/>
      <c r="G462" s="93"/>
      <c r="H462" s="93"/>
      <c r="I462" s="93"/>
      <c r="J462" s="93"/>
    </row>
    <row r="463" ht="15.75" customHeight="1">
      <c r="A463" s="89" t="s">
        <v>207</v>
      </c>
      <c r="B463" s="89" t="s">
        <v>539</v>
      </c>
      <c r="C463" s="90"/>
      <c r="D463" s="90"/>
      <c r="E463" s="90"/>
      <c r="F463" s="90"/>
      <c r="G463" s="90"/>
      <c r="H463" s="90"/>
      <c r="I463" s="90"/>
      <c r="J463" s="90"/>
    </row>
    <row r="464" ht="15.75" customHeight="1">
      <c r="A464" s="89" t="s">
        <v>209</v>
      </c>
      <c r="B464" s="89" t="s">
        <v>540</v>
      </c>
      <c r="C464" s="90"/>
      <c r="D464" s="90"/>
      <c r="E464" s="90"/>
      <c r="F464" s="90"/>
      <c r="G464" s="90"/>
      <c r="H464" s="90"/>
      <c r="I464" s="90"/>
      <c r="J464" s="90"/>
    </row>
    <row r="465" ht="15.75" customHeight="1">
      <c r="A465" s="91" t="s">
        <v>211</v>
      </c>
      <c r="B465" s="92"/>
      <c r="C465" s="92"/>
      <c r="D465" s="92">
        <f t="shared" ref="D465:J465" si="42">SUM(D458:D464)</f>
        <v>0</v>
      </c>
      <c r="E465" s="92">
        <f t="shared" si="42"/>
        <v>0</v>
      </c>
      <c r="F465" s="92">
        <f t="shared" si="42"/>
        <v>0</v>
      </c>
      <c r="G465" s="92">
        <f t="shared" si="42"/>
        <v>0</v>
      </c>
      <c r="H465" s="92">
        <f t="shared" si="42"/>
        <v>0</v>
      </c>
      <c r="I465" s="92">
        <f t="shared" si="42"/>
        <v>0</v>
      </c>
      <c r="J465" s="92">
        <f t="shared" si="42"/>
        <v>0</v>
      </c>
    </row>
    <row r="466" ht="15.75" customHeight="1"/>
    <row r="467" ht="15.75" customHeight="1">
      <c r="A467" s="87" t="s">
        <v>541</v>
      </c>
      <c r="B467" s="37"/>
      <c r="C467" s="37"/>
      <c r="D467" s="37"/>
      <c r="E467" s="37"/>
      <c r="F467" s="37"/>
      <c r="G467" s="37"/>
      <c r="H467" s="37"/>
      <c r="I467" s="37"/>
      <c r="J467" s="38"/>
    </row>
    <row r="468" ht="15.75" customHeight="1">
      <c r="A468" s="39" t="s">
        <v>192</v>
      </c>
      <c r="B468" s="39" t="s">
        <v>193</v>
      </c>
      <c r="C468" s="39" t="s">
        <v>665</v>
      </c>
      <c r="D468" s="39" t="s">
        <v>195</v>
      </c>
      <c r="E468" s="39" t="s">
        <v>666</v>
      </c>
      <c r="F468" s="39" t="s">
        <v>99</v>
      </c>
      <c r="G468" s="39" t="s">
        <v>667</v>
      </c>
      <c r="H468" s="39" t="s">
        <v>135</v>
      </c>
      <c r="I468" s="39" t="s">
        <v>668</v>
      </c>
      <c r="J468" s="39" t="s">
        <v>669</v>
      </c>
    </row>
    <row r="469" ht="15.75" customHeight="1">
      <c r="A469" s="41" t="s">
        <v>201</v>
      </c>
      <c r="B469" s="41" t="s">
        <v>542</v>
      </c>
      <c r="C469" s="93"/>
      <c r="D469" s="93"/>
      <c r="E469" s="93"/>
      <c r="F469" s="93"/>
      <c r="G469" s="93"/>
      <c r="H469" s="93"/>
      <c r="I469" s="93"/>
      <c r="J469" s="93"/>
    </row>
    <row r="470" ht="15.75" customHeight="1">
      <c r="A470" s="41" t="s">
        <v>203</v>
      </c>
      <c r="B470" s="41" t="s">
        <v>543</v>
      </c>
      <c r="C470" s="93"/>
      <c r="D470" s="93"/>
      <c r="E470" s="93"/>
      <c r="F470" s="93"/>
      <c r="G470" s="93"/>
      <c r="H470" s="93"/>
      <c r="I470" s="93"/>
      <c r="J470" s="93"/>
    </row>
    <row r="471" ht="15.75" customHeight="1">
      <c r="A471" s="41" t="s">
        <v>204</v>
      </c>
      <c r="B471" s="41" t="s">
        <v>544</v>
      </c>
      <c r="C471" s="93"/>
      <c r="D471" s="93"/>
      <c r="E471" s="93"/>
      <c r="F471" s="93"/>
      <c r="G471" s="93"/>
      <c r="H471" s="93"/>
      <c r="I471" s="93"/>
      <c r="J471" s="93"/>
    </row>
    <row r="472" ht="15.75" customHeight="1">
      <c r="A472" s="41" t="s">
        <v>205</v>
      </c>
      <c r="B472" s="41" t="s">
        <v>545</v>
      </c>
      <c r="C472" s="93"/>
      <c r="D472" s="93"/>
      <c r="E472" s="93"/>
      <c r="F472" s="93"/>
      <c r="G472" s="93"/>
      <c r="H472" s="93"/>
      <c r="I472" s="93"/>
      <c r="J472" s="93"/>
    </row>
    <row r="473" ht="15.75" customHeight="1">
      <c r="A473" s="41" t="s">
        <v>206</v>
      </c>
      <c r="B473" s="41" t="s">
        <v>546</v>
      </c>
      <c r="C473" s="93"/>
      <c r="D473" s="93"/>
      <c r="E473" s="93"/>
      <c r="F473" s="93"/>
      <c r="G473" s="93"/>
      <c r="H473" s="93"/>
      <c r="I473" s="93"/>
      <c r="J473" s="93"/>
    </row>
    <row r="474" ht="15.75" customHeight="1">
      <c r="A474" s="89" t="s">
        <v>207</v>
      </c>
      <c r="B474" s="89" t="s">
        <v>547</v>
      </c>
      <c r="C474" s="90"/>
      <c r="D474" s="90"/>
      <c r="E474" s="90"/>
      <c r="F474" s="90"/>
      <c r="G474" s="90"/>
      <c r="H474" s="90"/>
      <c r="I474" s="90"/>
      <c r="J474" s="90"/>
    </row>
    <row r="475" ht="15.75" customHeight="1">
      <c r="A475" s="89" t="s">
        <v>209</v>
      </c>
      <c r="B475" s="89" t="s">
        <v>548</v>
      </c>
      <c r="C475" s="90"/>
      <c r="D475" s="90"/>
      <c r="E475" s="90"/>
      <c r="F475" s="90"/>
      <c r="G475" s="90"/>
      <c r="H475" s="90"/>
      <c r="I475" s="90"/>
      <c r="J475" s="90"/>
    </row>
    <row r="476" ht="15.75" customHeight="1">
      <c r="A476" s="91" t="s">
        <v>211</v>
      </c>
      <c r="B476" s="92"/>
      <c r="C476" s="92"/>
      <c r="D476" s="92">
        <f t="shared" ref="D476:J476" si="43">SUM(D469:D475)</f>
        <v>0</v>
      </c>
      <c r="E476" s="92">
        <f t="shared" si="43"/>
        <v>0</v>
      </c>
      <c r="F476" s="92">
        <f t="shared" si="43"/>
        <v>0</v>
      </c>
      <c r="G476" s="92">
        <f t="shared" si="43"/>
        <v>0</v>
      </c>
      <c r="H476" s="92">
        <f t="shared" si="43"/>
        <v>0</v>
      </c>
      <c r="I476" s="92">
        <f t="shared" si="43"/>
        <v>0</v>
      </c>
      <c r="J476" s="92">
        <f t="shared" si="43"/>
        <v>0</v>
      </c>
    </row>
    <row r="477" ht="15.75" customHeight="1"/>
    <row r="478" ht="15.75" customHeight="1">
      <c r="A478" s="87" t="s">
        <v>549</v>
      </c>
      <c r="B478" s="37"/>
      <c r="C478" s="37"/>
      <c r="D478" s="37"/>
      <c r="E478" s="37"/>
      <c r="F478" s="37"/>
      <c r="G478" s="37"/>
      <c r="H478" s="37"/>
      <c r="I478" s="37"/>
      <c r="J478" s="38"/>
    </row>
    <row r="479" ht="15.75" customHeight="1">
      <c r="A479" s="39" t="s">
        <v>192</v>
      </c>
      <c r="B479" s="39" t="s">
        <v>193</v>
      </c>
      <c r="C479" s="39" t="s">
        <v>665</v>
      </c>
      <c r="D479" s="39" t="s">
        <v>195</v>
      </c>
      <c r="E479" s="39" t="s">
        <v>666</v>
      </c>
      <c r="F479" s="39" t="s">
        <v>99</v>
      </c>
      <c r="G479" s="39" t="s">
        <v>667</v>
      </c>
      <c r="H479" s="39" t="s">
        <v>135</v>
      </c>
      <c r="I479" s="39" t="s">
        <v>668</v>
      </c>
      <c r="J479" s="39" t="s">
        <v>669</v>
      </c>
    </row>
    <row r="480" ht="15.75" customHeight="1">
      <c r="A480" s="41" t="s">
        <v>201</v>
      </c>
      <c r="B480" s="41" t="s">
        <v>550</v>
      </c>
      <c r="C480" s="93"/>
      <c r="D480" s="93"/>
      <c r="E480" s="93"/>
      <c r="F480" s="93"/>
      <c r="G480" s="93"/>
      <c r="H480" s="93"/>
      <c r="I480" s="93"/>
      <c r="J480" s="93"/>
    </row>
    <row r="481" ht="15.75" customHeight="1">
      <c r="A481" s="41" t="s">
        <v>203</v>
      </c>
      <c r="B481" s="41" t="s">
        <v>551</v>
      </c>
      <c r="C481" s="93"/>
      <c r="D481" s="93"/>
      <c r="E481" s="93"/>
      <c r="F481" s="93"/>
      <c r="G481" s="93"/>
      <c r="H481" s="93"/>
      <c r="I481" s="93"/>
      <c r="J481" s="93"/>
    </row>
    <row r="482" ht="15.75" customHeight="1">
      <c r="A482" s="41" t="s">
        <v>204</v>
      </c>
      <c r="B482" s="41" t="s">
        <v>552</v>
      </c>
      <c r="C482" s="93"/>
      <c r="D482" s="93"/>
      <c r="E482" s="93"/>
      <c r="F482" s="93"/>
      <c r="G482" s="93"/>
      <c r="H482" s="93"/>
      <c r="I482" s="93"/>
      <c r="J482" s="93"/>
    </row>
    <row r="483" ht="15.75" customHeight="1">
      <c r="A483" s="41" t="s">
        <v>205</v>
      </c>
      <c r="B483" s="41" t="s">
        <v>553</v>
      </c>
      <c r="C483" s="93"/>
      <c r="D483" s="93"/>
      <c r="E483" s="93"/>
      <c r="F483" s="93"/>
      <c r="G483" s="93"/>
      <c r="H483" s="93"/>
      <c r="I483" s="93"/>
      <c r="J483" s="93"/>
    </row>
    <row r="484" ht="15.75" customHeight="1">
      <c r="A484" s="41" t="s">
        <v>206</v>
      </c>
      <c r="B484" s="41" t="s">
        <v>554</v>
      </c>
      <c r="C484" s="93"/>
      <c r="D484" s="93"/>
      <c r="E484" s="93"/>
      <c r="F484" s="93"/>
      <c r="G484" s="93"/>
      <c r="H484" s="93"/>
      <c r="I484" s="93"/>
      <c r="J484" s="93"/>
    </row>
    <row r="485" ht="15.75" customHeight="1">
      <c r="A485" s="89" t="s">
        <v>207</v>
      </c>
      <c r="B485" s="89" t="s">
        <v>555</v>
      </c>
      <c r="C485" s="90"/>
      <c r="D485" s="90"/>
      <c r="E485" s="90"/>
      <c r="F485" s="90"/>
      <c r="G485" s="90"/>
      <c r="H485" s="90"/>
      <c r="I485" s="90"/>
      <c r="J485" s="90"/>
    </row>
    <row r="486" ht="15.75" customHeight="1">
      <c r="A486" s="89" t="s">
        <v>209</v>
      </c>
      <c r="B486" s="89" t="s">
        <v>556</v>
      </c>
      <c r="C486" s="90"/>
      <c r="D486" s="90"/>
      <c r="E486" s="90"/>
      <c r="F486" s="90"/>
      <c r="G486" s="90"/>
      <c r="H486" s="90"/>
      <c r="I486" s="90"/>
      <c r="J486" s="90"/>
    </row>
    <row r="487" ht="15.75" customHeight="1">
      <c r="A487" s="91" t="s">
        <v>211</v>
      </c>
      <c r="B487" s="92"/>
      <c r="C487" s="92"/>
      <c r="D487" s="92">
        <f t="shared" ref="D487:J487" si="44">SUM(D480:D486)</f>
        <v>0</v>
      </c>
      <c r="E487" s="92">
        <f t="shared" si="44"/>
        <v>0</v>
      </c>
      <c r="F487" s="92">
        <f t="shared" si="44"/>
        <v>0</v>
      </c>
      <c r="G487" s="92">
        <f t="shared" si="44"/>
        <v>0</v>
      </c>
      <c r="H487" s="92">
        <f t="shared" si="44"/>
        <v>0</v>
      </c>
      <c r="I487" s="92">
        <f t="shared" si="44"/>
        <v>0</v>
      </c>
      <c r="J487" s="92">
        <f t="shared" si="44"/>
        <v>0</v>
      </c>
    </row>
    <row r="488" ht="15.75" customHeight="1"/>
    <row r="489" ht="15.75" customHeight="1">
      <c r="A489" s="87" t="s">
        <v>557</v>
      </c>
      <c r="B489" s="37"/>
      <c r="C489" s="37"/>
      <c r="D489" s="37"/>
      <c r="E489" s="37"/>
      <c r="F489" s="37"/>
      <c r="G489" s="37"/>
      <c r="H489" s="37"/>
      <c r="I489" s="37"/>
      <c r="J489" s="38"/>
    </row>
    <row r="490" ht="15.75" customHeight="1">
      <c r="A490" s="39" t="s">
        <v>192</v>
      </c>
      <c r="B490" s="39" t="s">
        <v>193</v>
      </c>
      <c r="C490" s="39" t="s">
        <v>665</v>
      </c>
      <c r="D490" s="39" t="s">
        <v>195</v>
      </c>
      <c r="E490" s="39" t="s">
        <v>666</v>
      </c>
      <c r="F490" s="39" t="s">
        <v>99</v>
      </c>
      <c r="G490" s="39" t="s">
        <v>667</v>
      </c>
      <c r="H490" s="39" t="s">
        <v>135</v>
      </c>
      <c r="I490" s="39" t="s">
        <v>668</v>
      </c>
      <c r="J490" s="39" t="s">
        <v>669</v>
      </c>
    </row>
    <row r="491" ht="15.75" customHeight="1">
      <c r="A491" s="41" t="s">
        <v>201</v>
      </c>
      <c r="B491" s="41" t="s">
        <v>558</v>
      </c>
      <c r="C491" s="93"/>
      <c r="D491" s="93"/>
      <c r="E491" s="93"/>
      <c r="F491" s="93"/>
      <c r="G491" s="93"/>
      <c r="H491" s="93"/>
      <c r="I491" s="93"/>
      <c r="J491" s="93"/>
    </row>
    <row r="492" ht="15.75" customHeight="1">
      <c r="A492" s="41" t="s">
        <v>203</v>
      </c>
      <c r="B492" s="41" t="s">
        <v>559</v>
      </c>
      <c r="C492" s="93"/>
      <c r="D492" s="93"/>
      <c r="E492" s="93"/>
      <c r="F492" s="93"/>
      <c r="G492" s="93"/>
      <c r="H492" s="93"/>
      <c r="I492" s="93"/>
      <c r="J492" s="93"/>
    </row>
    <row r="493" ht="15.75" customHeight="1">
      <c r="A493" s="41" t="s">
        <v>204</v>
      </c>
      <c r="B493" s="41" t="s">
        <v>560</v>
      </c>
      <c r="C493" s="93"/>
      <c r="D493" s="93"/>
      <c r="E493" s="93"/>
      <c r="F493" s="93"/>
      <c r="G493" s="93"/>
      <c r="H493" s="93"/>
      <c r="I493" s="93"/>
      <c r="J493" s="93"/>
    </row>
    <row r="494" ht="15.75" customHeight="1">
      <c r="A494" s="41" t="s">
        <v>205</v>
      </c>
      <c r="B494" s="41" t="s">
        <v>561</v>
      </c>
      <c r="C494" s="93"/>
      <c r="D494" s="93"/>
      <c r="E494" s="93"/>
      <c r="F494" s="93"/>
      <c r="G494" s="93"/>
      <c r="H494" s="93"/>
      <c r="I494" s="93"/>
      <c r="J494" s="93"/>
    </row>
    <row r="495" ht="15.75" customHeight="1">
      <c r="A495" s="41" t="s">
        <v>206</v>
      </c>
      <c r="B495" s="41" t="s">
        <v>562</v>
      </c>
      <c r="C495" s="93"/>
      <c r="D495" s="93"/>
      <c r="E495" s="93"/>
      <c r="F495" s="93"/>
      <c r="G495" s="93"/>
      <c r="H495" s="93"/>
      <c r="I495" s="93"/>
      <c r="J495" s="93"/>
    </row>
    <row r="496" ht="15.75" customHeight="1">
      <c r="A496" s="89" t="s">
        <v>207</v>
      </c>
      <c r="B496" s="89" t="s">
        <v>563</v>
      </c>
      <c r="C496" s="90"/>
      <c r="D496" s="90"/>
      <c r="E496" s="90"/>
      <c r="F496" s="90"/>
      <c r="G496" s="90"/>
      <c r="H496" s="90"/>
      <c r="I496" s="90"/>
      <c r="J496" s="90"/>
    </row>
    <row r="497" ht="15.75" customHeight="1">
      <c r="A497" s="89" t="s">
        <v>209</v>
      </c>
      <c r="B497" s="89" t="s">
        <v>564</v>
      </c>
      <c r="C497" s="90"/>
      <c r="D497" s="90"/>
      <c r="E497" s="90"/>
      <c r="F497" s="90"/>
      <c r="G497" s="90"/>
      <c r="H497" s="90"/>
      <c r="I497" s="90"/>
      <c r="J497" s="90"/>
    </row>
    <row r="498" ht="15.75" customHeight="1">
      <c r="A498" s="91" t="s">
        <v>211</v>
      </c>
      <c r="B498" s="92"/>
      <c r="C498" s="92"/>
      <c r="D498" s="92">
        <f t="shared" ref="D498:J498" si="45">SUM(D491:D497)</f>
        <v>0</v>
      </c>
      <c r="E498" s="92">
        <f t="shared" si="45"/>
        <v>0</v>
      </c>
      <c r="F498" s="92">
        <f t="shared" si="45"/>
        <v>0</v>
      </c>
      <c r="G498" s="92">
        <f t="shared" si="45"/>
        <v>0</v>
      </c>
      <c r="H498" s="92">
        <f t="shared" si="45"/>
        <v>0</v>
      </c>
      <c r="I498" s="92">
        <f t="shared" si="45"/>
        <v>0</v>
      </c>
      <c r="J498" s="92">
        <f t="shared" si="45"/>
        <v>0</v>
      </c>
    </row>
    <row r="499" ht="15.75" customHeight="1"/>
    <row r="500" ht="15.75" customHeight="1">
      <c r="A500" s="87" t="s">
        <v>565</v>
      </c>
      <c r="B500" s="37"/>
      <c r="C500" s="37"/>
      <c r="D500" s="37"/>
      <c r="E500" s="37"/>
      <c r="F500" s="37"/>
      <c r="G500" s="37"/>
      <c r="H500" s="37"/>
      <c r="I500" s="37"/>
      <c r="J500" s="38"/>
    </row>
    <row r="501" ht="15.75" customHeight="1">
      <c r="A501" s="39" t="s">
        <v>192</v>
      </c>
      <c r="B501" s="39" t="s">
        <v>193</v>
      </c>
      <c r="C501" s="39" t="s">
        <v>665</v>
      </c>
      <c r="D501" s="39" t="s">
        <v>195</v>
      </c>
      <c r="E501" s="39" t="s">
        <v>666</v>
      </c>
      <c r="F501" s="39" t="s">
        <v>99</v>
      </c>
      <c r="G501" s="39" t="s">
        <v>667</v>
      </c>
      <c r="H501" s="39" t="s">
        <v>135</v>
      </c>
      <c r="I501" s="39" t="s">
        <v>668</v>
      </c>
      <c r="J501" s="39" t="s">
        <v>669</v>
      </c>
    </row>
    <row r="502" ht="15.75" customHeight="1">
      <c r="A502" s="41" t="s">
        <v>201</v>
      </c>
      <c r="B502" s="41" t="s">
        <v>566</v>
      </c>
      <c r="C502" s="93"/>
      <c r="D502" s="93"/>
      <c r="E502" s="93"/>
      <c r="F502" s="93"/>
      <c r="G502" s="93"/>
      <c r="H502" s="93"/>
      <c r="I502" s="93"/>
      <c r="J502" s="93"/>
    </row>
    <row r="503" ht="15.75" customHeight="1">
      <c r="A503" s="41" t="s">
        <v>203</v>
      </c>
      <c r="B503" s="41" t="s">
        <v>567</v>
      </c>
      <c r="C503" s="93"/>
      <c r="D503" s="93"/>
      <c r="E503" s="93"/>
      <c r="F503" s="93"/>
      <c r="G503" s="93"/>
      <c r="H503" s="93"/>
      <c r="I503" s="93"/>
      <c r="J503" s="93"/>
    </row>
    <row r="504" ht="15.75" customHeight="1">
      <c r="A504" s="41" t="s">
        <v>204</v>
      </c>
      <c r="B504" s="41" t="s">
        <v>568</v>
      </c>
      <c r="C504" s="93"/>
      <c r="D504" s="93"/>
      <c r="E504" s="93"/>
      <c r="F504" s="93"/>
      <c r="G504" s="93"/>
      <c r="H504" s="93"/>
      <c r="I504" s="93"/>
      <c r="J504" s="93"/>
    </row>
    <row r="505" ht="15.75" customHeight="1">
      <c r="A505" s="41" t="s">
        <v>205</v>
      </c>
      <c r="B505" s="41" t="s">
        <v>569</v>
      </c>
      <c r="C505" s="93"/>
      <c r="D505" s="93"/>
      <c r="E505" s="93"/>
      <c r="F505" s="93"/>
      <c r="G505" s="93"/>
      <c r="H505" s="93"/>
      <c r="I505" s="93"/>
      <c r="J505" s="93"/>
    </row>
    <row r="506" ht="15.75" customHeight="1">
      <c r="A506" s="41" t="s">
        <v>206</v>
      </c>
      <c r="B506" s="41" t="s">
        <v>570</v>
      </c>
      <c r="C506" s="93"/>
      <c r="D506" s="93"/>
      <c r="E506" s="93"/>
      <c r="F506" s="93"/>
      <c r="G506" s="93"/>
      <c r="H506" s="93"/>
      <c r="I506" s="93"/>
      <c r="J506" s="93"/>
    </row>
    <row r="507" ht="15.75" customHeight="1">
      <c r="A507" s="89" t="s">
        <v>207</v>
      </c>
      <c r="B507" s="89" t="s">
        <v>571</v>
      </c>
      <c r="C507" s="90"/>
      <c r="D507" s="90"/>
      <c r="E507" s="90"/>
      <c r="F507" s="90"/>
      <c r="G507" s="90"/>
      <c r="H507" s="90"/>
      <c r="I507" s="90"/>
      <c r="J507" s="90"/>
    </row>
    <row r="508" ht="15.75" customHeight="1">
      <c r="A508" s="89" t="s">
        <v>209</v>
      </c>
      <c r="B508" s="89" t="s">
        <v>572</v>
      </c>
      <c r="C508" s="90"/>
      <c r="D508" s="90"/>
      <c r="E508" s="90"/>
      <c r="F508" s="90"/>
      <c r="G508" s="90"/>
      <c r="H508" s="90"/>
      <c r="I508" s="90"/>
      <c r="J508" s="90"/>
    </row>
    <row r="509" ht="15.75" customHeight="1">
      <c r="A509" s="91" t="s">
        <v>211</v>
      </c>
      <c r="B509" s="92"/>
      <c r="C509" s="92"/>
      <c r="D509" s="92">
        <f t="shared" ref="D509:J509" si="46">SUM(D502:D508)</f>
        <v>0</v>
      </c>
      <c r="E509" s="92">
        <f t="shared" si="46"/>
        <v>0</v>
      </c>
      <c r="F509" s="92">
        <f t="shared" si="46"/>
        <v>0</v>
      </c>
      <c r="G509" s="92">
        <f t="shared" si="46"/>
        <v>0</v>
      </c>
      <c r="H509" s="92">
        <f t="shared" si="46"/>
        <v>0</v>
      </c>
      <c r="I509" s="92">
        <f t="shared" si="46"/>
        <v>0</v>
      </c>
      <c r="J509" s="92">
        <f t="shared" si="46"/>
        <v>0</v>
      </c>
    </row>
    <row r="510" ht="15.75" customHeight="1"/>
    <row r="511" ht="15.75" customHeight="1">
      <c r="A511" s="87" t="s">
        <v>573</v>
      </c>
      <c r="B511" s="37"/>
      <c r="C511" s="37"/>
      <c r="D511" s="37"/>
      <c r="E511" s="37"/>
      <c r="F511" s="37"/>
      <c r="G511" s="37"/>
      <c r="H511" s="37"/>
      <c r="I511" s="37"/>
      <c r="J511" s="38"/>
    </row>
    <row r="512" ht="15.75" customHeight="1">
      <c r="A512" s="39" t="s">
        <v>192</v>
      </c>
      <c r="B512" s="39" t="s">
        <v>193</v>
      </c>
      <c r="C512" s="39" t="s">
        <v>665</v>
      </c>
      <c r="D512" s="39" t="s">
        <v>195</v>
      </c>
      <c r="E512" s="39" t="s">
        <v>666</v>
      </c>
      <c r="F512" s="39" t="s">
        <v>99</v>
      </c>
      <c r="G512" s="39" t="s">
        <v>667</v>
      </c>
      <c r="H512" s="39" t="s">
        <v>135</v>
      </c>
      <c r="I512" s="39" t="s">
        <v>668</v>
      </c>
      <c r="J512" s="39" t="s">
        <v>669</v>
      </c>
    </row>
    <row r="513" ht="15.75" customHeight="1">
      <c r="A513" s="41" t="s">
        <v>201</v>
      </c>
      <c r="B513" s="41" t="s">
        <v>574</v>
      </c>
      <c r="C513" s="93"/>
      <c r="D513" s="93"/>
      <c r="E513" s="93"/>
      <c r="F513" s="93"/>
      <c r="G513" s="93"/>
      <c r="H513" s="93"/>
      <c r="I513" s="93"/>
      <c r="J513" s="93"/>
    </row>
    <row r="514" ht="15.75" customHeight="1">
      <c r="A514" s="41" t="s">
        <v>203</v>
      </c>
      <c r="B514" s="41" t="s">
        <v>575</v>
      </c>
      <c r="C514" s="93"/>
      <c r="D514" s="93"/>
      <c r="E514" s="93"/>
      <c r="F514" s="93"/>
      <c r="G514" s="93"/>
      <c r="H514" s="93"/>
      <c r="I514" s="93"/>
      <c r="J514" s="93"/>
    </row>
    <row r="515" ht="15.75" customHeight="1">
      <c r="A515" s="41" t="s">
        <v>204</v>
      </c>
      <c r="B515" s="41" t="s">
        <v>576</v>
      </c>
      <c r="C515" s="93"/>
      <c r="D515" s="93"/>
      <c r="E515" s="93"/>
      <c r="F515" s="93"/>
      <c r="G515" s="93"/>
      <c r="H515" s="93"/>
      <c r="I515" s="93"/>
      <c r="J515" s="93"/>
    </row>
    <row r="516" ht="15.75" customHeight="1">
      <c r="A516" s="41" t="s">
        <v>205</v>
      </c>
      <c r="B516" s="41" t="s">
        <v>577</v>
      </c>
      <c r="C516" s="93"/>
      <c r="D516" s="93"/>
      <c r="E516" s="93"/>
      <c r="F516" s="93"/>
      <c r="G516" s="93"/>
      <c r="H516" s="93"/>
      <c r="I516" s="93"/>
      <c r="J516" s="93"/>
    </row>
    <row r="517" ht="15.75" customHeight="1">
      <c r="A517" s="41" t="s">
        <v>206</v>
      </c>
      <c r="B517" s="41" t="s">
        <v>578</v>
      </c>
      <c r="C517" s="93"/>
      <c r="D517" s="93"/>
      <c r="E517" s="93"/>
      <c r="F517" s="93"/>
      <c r="G517" s="93"/>
      <c r="H517" s="93"/>
      <c r="I517" s="93"/>
      <c r="J517" s="93"/>
    </row>
    <row r="518" ht="15.75" customHeight="1">
      <c r="A518" s="89" t="s">
        <v>207</v>
      </c>
      <c r="B518" s="89" t="s">
        <v>579</v>
      </c>
      <c r="C518" s="90"/>
      <c r="D518" s="90"/>
      <c r="E518" s="90"/>
      <c r="F518" s="90"/>
      <c r="G518" s="90"/>
      <c r="H518" s="90"/>
      <c r="I518" s="90"/>
      <c r="J518" s="90"/>
    </row>
    <row r="519" ht="15.75" customHeight="1">
      <c r="A519" s="89" t="s">
        <v>209</v>
      </c>
      <c r="B519" s="89" t="s">
        <v>580</v>
      </c>
      <c r="C519" s="90"/>
      <c r="D519" s="90"/>
      <c r="E519" s="90"/>
      <c r="F519" s="90"/>
      <c r="G519" s="90"/>
      <c r="H519" s="90"/>
      <c r="I519" s="90"/>
      <c r="J519" s="90"/>
    </row>
    <row r="520" ht="15.75" customHeight="1">
      <c r="A520" s="91" t="s">
        <v>211</v>
      </c>
      <c r="B520" s="92"/>
      <c r="C520" s="92"/>
      <c r="D520" s="92">
        <f t="shared" ref="D520:J520" si="47">SUM(D513:D519)</f>
        <v>0</v>
      </c>
      <c r="E520" s="92">
        <f t="shared" si="47"/>
        <v>0</v>
      </c>
      <c r="F520" s="92">
        <f t="shared" si="47"/>
        <v>0</v>
      </c>
      <c r="G520" s="92">
        <f t="shared" si="47"/>
        <v>0</v>
      </c>
      <c r="H520" s="92">
        <f t="shared" si="47"/>
        <v>0</v>
      </c>
      <c r="I520" s="92">
        <f t="shared" si="47"/>
        <v>0</v>
      </c>
      <c r="J520" s="92">
        <f t="shared" si="47"/>
        <v>0</v>
      </c>
    </row>
    <row r="521" ht="15.75" customHeight="1"/>
    <row r="522" ht="15.75" customHeight="1">
      <c r="A522" s="87" t="s">
        <v>581</v>
      </c>
      <c r="B522" s="37"/>
      <c r="C522" s="37"/>
      <c r="D522" s="37"/>
      <c r="E522" s="37"/>
      <c r="F522" s="37"/>
      <c r="G522" s="37"/>
      <c r="H522" s="37"/>
      <c r="I522" s="37"/>
      <c r="J522" s="38"/>
    </row>
    <row r="523" ht="15.75" customHeight="1">
      <c r="A523" s="39" t="s">
        <v>192</v>
      </c>
      <c r="B523" s="39" t="s">
        <v>193</v>
      </c>
      <c r="C523" s="39" t="s">
        <v>665</v>
      </c>
      <c r="D523" s="39" t="s">
        <v>195</v>
      </c>
      <c r="E523" s="39" t="s">
        <v>666</v>
      </c>
      <c r="F523" s="39" t="s">
        <v>99</v>
      </c>
      <c r="G523" s="39" t="s">
        <v>667</v>
      </c>
      <c r="H523" s="39" t="s">
        <v>135</v>
      </c>
      <c r="I523" s="39" t="s">
        <v>668</v>
      </c>
      <c r="J523" s="39" t="s">
        <v>669</v>
      </c>
    </row>
    <row r="524" ht="15.75" customHeight="1">
      <c r="A524" s="41" t="s">
        <v>201</v>
      </c>
      <c r="B524" s="41" t="s">
        <v>582</v>
      </c>
      <c r="C524" s="93"/>
      <c r="D524" s="93"/>
      <c r="E524" s="93"/>
      <c r="F524" s="93"/>
      <c r="G524" s="93"/>
      <c r="H524" s="93"/>
      <c r="I524" s="93"/>
      <c r="J524" s="93"/>
    </row>
    <row r="525" ht="15.75" customHeight="1">
      <c r="A525" s="41" t="s">
        <v>203</v>
      </c>
      <c r="B525" s="41" t="s">
        <v>583</v>
      </c>
      <c r="C525" s="93"/>
      <c r="D525" s="93"/>
      <c r="E525" s="93"/>
      <c r="F525" s="93"/>
      <c r="G525" s="93"/>
      <c r="H525" s="93"/>
      <c r="I525" s="93"/>
      <c r="J525" s="93"/>
    </row>
    <row r="526" ht="15.75" customHeight="1">
      <c r="A526" s="41" t="s">
        <v>204</v>
      </c>
      <c r="B526" s="41" t="s">
        <v>584</v>
      </c>
      <c r="C526" s="93"/>
      <c r="D526" s="93"/>
      <c r="E526" s="93"/>
      <c r="F526" s="93"/>
      <c r="G526" s="93"/>
      <c r="H526" s="93"/>
      <c r="I526" s="93"/>
      <c r="J526" s="93"/>
    </row>
    <row r="527" ht="15.75" customHeight="1">
      <c r="A527" s="41" t="s">
        <v>205</v>
      </c>
      <c r="B527" s="41" t="s">
        <v>585</v>
      </c>
      <c r="C527" s="93"/>
      <c r="D527" s="93"/>
      <c r="E527" s="93"/>
      <c r="F527" s="93"/>
      <c r="G527" s="93"/>
      <c r="H527" s="93"/>
      <c r="I527" s="93"/>
      <c r="J527" s="93"/>
    </row>
    <row r="528" ht="15.75" customHeight="1">
      <c r="A528" s="41" t="s">
        <v>206</v>
      </c>
      <c r="B528" s="41" t="s">
        <v>586</v>
      </c>
      <c r="C528" s="93"/>
      <c r="D528" s="93"/>
      <c r="E528" s="93"/>
      <c r="F528" s="93"/>
      <c r="G528" s="93"/>
      <c r="H528" s="93"/>
      <c r="I528" s="93"/>
      <c r="J528" s="93"/>
    </row>
    <row r="529" ht="15.75" customHeight="1">
      <c r="A529" s="89" t="s">
        <v>207</v>
      </c>
      <c r="B529" s="89" t="s">
        <v>587</v>
      </c>
      <c r="C529" s="90"/>
      <c r="D529" s="90"/>
      <c r="E529" s="90"/>
      <c r="F529" s="90"/>
      <c r="G529" s="90"/>
      <c r="H529" s="90"/>
      <c r="I529" s="90"/>
      <c r="J529" s="90"/>
    </row>
    <row r="530" ht="15.75" customHeight="1">
      <c r="A530" s="89" t="s">
        <v>209</v>
      </c>
      <c r="B530" s="89" t="s">
        <v>588</v>
      </c>
      <c r="C530" s="90"/>
      <c r="D530" s="90"/>
      <c r="E530" s="90"/>
      <c r="F530" s="90"/>
      <c r="G530" s="90"/>
      <c r="H530" s="90"/>
      <c r="I530" s="90"/>
      <c r="J530" s="90"/>
    </row>
    <row r="531" ht="15.75" customHeight="1">
      <c r="A531" s="91" t="s">
        <v>211</v>
      </c>
      <c r="B531" s="92"/>
      <c r="C531" s="92"/>
      <c r="D531" s="92">
        <f t="shared" ref="D531:J531" si="48">SUM(D524:D530)</f>
        <v>0</v>
      </c>
      <c r="E531" s="92">
        <f t="shared" si="48"/>
        <v>0</v>
      </c>
      <c r="F531" s="92">
        <f t="shared" si="48"/>
        <v>0</v>
      </c>
      <c r="G531" s="92">
        <f t="shared" si="48"/>
        <v>0</v>
      </c>
      <c r="H531" s="92">
        <f t="shared" si="48"/>
        <v>0</v>
      </c>
      <c r="I531" s="92">
        <f t="shared" si="48"/>
        <v>0</v>
      </c>
      <c r="J531" s="92">
        <f t="shared" si="48"/>
        <v>0</v>
      </c>
    </row>
    <row r="532" ht="15.75" customHeight="1"/>
    <row r="533" ht="15.75" customHeight="1">
      <c r="A533" s="87" t="s">
        <v>589</v>
      </c>
      <c r="B533" s="37"/>
      <c r="C533" s="37"/>
      <c r="D533" s="37"/>
      <c r="E533" s="37"/>
      <c r="F533" s="37"/>
      <c r="G533" s="37"/>
      <c r="H533" s="37"/>
      <c r="I533" s="37"/>
      <c r="J533" s="38"/>
    </row>
    <row r="534" ht="15.75" customHeight="1">
      <c r="A534" s="39" t="s">
        <v>192</v>
      </c>
      <c r="B534" s="39" t="s">
        <v>193</v>
      </c>
      <c r="C534" s="39" t="s">
        <v>665</v>
      </c>
      <c r="D534" s="39" t="s">
        <v>195</v>
      </c>
      <c r="E534" s="39" t="s">
        <v>666</v>
      </c>
      <c r="F534" s="39" t="s">
        <v>99</v>
      </c>
      <c r="G534" s="39" t="s">
        <v>667</v>
      </c>
      <c r="H534" s="39" t="s">
        <v>135</v>
      </c>
      <c r="I534" s="39" t="s">
        <v>668</v>
      </c>
      <c r="J534" s="39" t="s">
        <v>669</v>
      </c>
    </row>
    <row r="535" ht="15.75" customHeight="1">
      <c r="A535" s="41" t="s">
        <v>201</v>
      </c>
      <c r="B535" s="41" t="s">
        <v>590</v>
      </c>
      <c r="C535" s="93"/>
      <c r="D535" s="93"/>
      <c r="E535" s="93"/>
      <c r="F535" s="93"/>
      <c r="G535" s="93"/>
      <c r="H535" s="93"/>
      <c r="I535" s="93"/>
      <c r="J535" s="93"/>
    </row>
    <row r="536" ht="15.75" customHeight="1">
      <c r="A536" s="41" t="s">
        <v>203</v>
      </c>
      <c r="B536" s="41" t="s">
        <v>591</v>
      </c>
      <c r="C536" s="93"/>
      <c r="D536" s="93"/>
      <c r="E536" s="93"/>
      <c r="F536" s="93"/>
      <c r="G536" s="93"/>
      <c r="H536" s="93"/>
      <c r="I536" s="93"/>
      <c r="J536" s="93"/>
    </row>
    <row r="537" ht="15.75" customHeight="1">
      <c r="A537" s="41" t="s">
        <v>204</v>
      </c>
      <c r="B537" s="41" t="s">
        <v>592</v>
      </c>
      <c r="C537" s="93"/>
      <c r="D537" s="93"/>
      <c r="E537" s="93"/>
      <c r="F537" s="93"/>
      <c r="G537" s="93"/>
      <c r="H537" s="93"/>
      <c r="I537" s="93"/>
      <c r="J537" s="93"/>
    </row>
    <row r="538" ht="15.75" customHeight="1">
      <c r="A538" s="41" t="s">
        <v>205</v>
      </c>
      <c r="B538" s="41" t="s">
        <v>593</v>
      </c>
      <c r="C538" s="93"/>
      <c r="D538" s="93"/>
      <c r="E538" s="93"/>
      <c r="F538" s="93"/>
      <c r="G538" s="93"/>
      <c r="H538" s="93"/>
      <c r="I538" s="93"/>
      <c r="J538" s="93"/>
    </row>
    <row r="539" ht="15.75" customHeight="1">
      <c r="A539" s="41" t="s">
        <v>206</v>
      </c>
      <c r="B539" s="41" t="s">
        <v>594</v>
      </c>
      <c r="C539" s="93"/>
      <c r="D539" s="93"/>
      <c r="E539" s="93"/>
      <c r="F539" s="93"/>
      <c r="G539" s="93"/>
      <c r="H539" s="93"/>
      <c r="I539" s="93"/>
      <c r="J539" s="93"/>
    </row>
    <row r="540" ht="15.75" customHeight="1">
      <c r="A540" s="89" t="s">
        <v>207</v>
      </c>
      <c r="B540" s="89" t="s">
        <v>595</v>
      </c>
      <c r="C540" s="90"/>
      <c r="D540" s="90"/>
      <c r="E540" s="90"/>
      <c r="F540" s="90"/>
      <c r="G540" s="90"/>
      <c r="H540" s="90"/>
      <c r="I540" s="90"/>
      <c r="J540" s="90"/>
    </row>
    <row r="541" ht="15.75" customHeight="1">
      <c r="A541" s="89" t="s">
        <v>209</v>
      </c>
      <c r="B541" s="89" t="s">
        <v>596</v>
      </c>
      <c r="C541" s="90"/>
      <c r="D541" s="90"/>
      <c r="E541" s="90"/>
      <c r="F541" s="90"/>
      <c r="G541" s="90"/>
      <c r="H541" s="90"/>
      <c r="I541" s="90"/>
      <c r="J541" s="90"/>
    </row>
    <row r="542" ht="15.75" customHeight="1">
      <c r="A542" s="91" t="s">
        <v>211</v>
      </c>
      <c r="B542" s="92"/>
      <c r="C542" s="92"/>
      <c r="D542" s="92">
        <f t="shared" ref="D542:J542" si="49">SUM(D535:D541)</f>
        <v>0</v>
      </c>
      <c r="E542" s="92">
        <f t="shared" si="49"/>
        <v>0</v>
      </c>
      <c r="F542" s="92">
        <f t="shared" si="49"/>
        <v>0</v>
      </c>
      <c r="G542" s="92">
        <f t="shared" si="49"/>
        <v>0</v>
      </c>
      <c r="H542" s="92">
        <f t="shared" si="49"/>
        <v>0</v>
      </c>
      <c r="I542" s="92">
        <f t="shared" si="49"/>
        <v>0</v>
      </c>
      <c r="J542" s="92">
        <f t="shared" si="49"/>
        <v>0</v>
      </c>
    </row>
    <row r="543" ht="15.75" customHeight="1"/>
    <row r="544" ht="15.75" customHeight="1">
      <c r="A544" s="87" t="s">
        <v>597</v>
      </c>
      <c r="B544" s="37"/>
      <c r="C544" s="37"/>
      <c r="D544" s="37"/>
      <c r="E544" s="37"/>
      <c r="F544" s="37"/>
      <c r="G544" s="37"/>
      <c r="H544" s="37"/>
      <c r="I544" s="37"/>
      <c r="J544" s="38"/>
    </row>
    <row r="545" ht="15.75" customHeight="1">
      <c r="A545" s="39" t="s">
        <v>192</v>
      </c>
      <c r="B545" s="39" t="s">
        <v>193</v>
      </c>
      <c r="C545" s="39" t="s">
        <v>665</v>
      </c>
      <c r="D545" s="39" t="s">
        <v>195</v>
      </c>
      <c r="E545" s="39" t="s">
        <v>666</v>
      </c>
      <c r="F545" s="39" t="s">
        <v>99</v>
      </c>
      <c r="G545" s="39" t="s">
        <v>667</v>
      </c>
      <c r="H545" s="39" t="s">
        <v>135</v>
      </c>
      <c r="I545" s="39" t="s">
        <v>668</v>
      </c>
      <c r="J545" s="39" t="s">
        <v>669</v>
      </c>
    </row>
    <row r="546" ht="15.75" customHeight="1">
      <c r="A546" s="41" t="s">
        <v>201</v>
      </c>
      <c r="B546" s="41" t="s">
        <v>598</v>
      </c>
      <c r="C546" s="93"/>
      <c r="D546" s="93"/>
      <c r="E546" s="93"/>
      <c r="F546" s="93"/>
      <c r="G546" s="93"/>
      <c r="H546" s="93"/>
      <c r="I546" s="93"/>
      <c r="J546" s="93"/>
    </row>
    <row r="547" ht="15.75" customHeight="1">
      <c r="A547" s="41" t="s">
        <v>203</v>
      </c>
      <c r="B547" s="41" t="s">
        <v>599</v>
      </c>
      <c r="C547" s="93"/>
      <c r="D547" s="93"/>
      <c r="E547" s="93"/>
      <c r="F547" s="93"/>
      <c r="G547" s="93"/>
      <c r="H547" s="93"/>
      <c r="I547" s="93"/>
      <c r="J547" s="93"/>
    </row>
    <row r="548" ht="15.75" customHeight="1">
      <c r="A548" s="41" t="s">
        <v>204</v>
      </c>
      <c r="B548" s="41" t="s">
        <v>600</v>
      </c>
      <c r="C548" s="93"/>
      <c r="D548" s="93"/>
      <c r="E548" s="93"/>
      <c r="F548" s="93"/>
      <c r="G548" s="93"/>
      <c r="H548" s="93"/>
      <c r="I548" s="93"/>
      <c r="J548" s="93"/>
    </row>
    <row r="549" ht="15.75" customHeight="1">
      <c r="A549" s="41" t="s">
        <v>205</v>
      </c>
      <c r="B549" s="41" t="s">
        <v>601</v>
      </c>
      <c r="C549" s="93"/>
      <c r="D549" s="93"/>
      <c r="E549" s="93"/>
      <c r="F549" s="93"/>
      <c r="G549" s="93"/>
      <c r="H549" s="93"/>
      <c r="I549" s="93"/>
      <c r="J549" s="93"/>
    </row>
    <row r="550" ht="15.75" customHeight="1">
      <c r="A550" s="41" t="s">
        <v>206</v>
      </c>
      <c r="B550" s="41" t="s">
        <v>602</v>
      </c>
      <c r="C550" s="93"/>
      <c r="D550" s="93"/>
      <c r="E550" s="93"/>
      <c r="F550" s="93"/>
      <c r="G550" s="93"/>
      <c r="H550" s="93"/>
      <c r="I550" s="93"/>
      <c r="J550" s="93"/>
    </row>
    <row r="551" ht="15.75" customHeight="1">
      <c r="A551" s="89" t="s">
        <v>207</v>
      </c>
      <c r="B551" s="89" t="s">
        <v>603</v>
      </c>
      <c r="C551" s="90"/>
      <c r="D551" s="90"/>
      <c r="E551" s="90"/>
      <c r="F551" s="90"/>
      <c r="G551" s="90"/>
      <c r="H551" s="90"/>
      <c r="I551" s="90"/>
      <c r="J551" s="90"/>
    </row>
    <row r="552" ht="15.75" customHeight="1">
      <c r="A552" s="89" t="s">
        <v>209</v>
      </c>
      <c r="B552" s="89" t="s">
        <v>604</v>
      </c>
      <c r="C552" s="90"/>
      <c r="D552" s="90"/>
      <c r="E552" s="90"/>
      <c r="F552" s="90"/>
      <c r="G552" s="90"/>
      <c r="H552" s="90"/>
      <c r="I552" s="90"/>
      <c r="J552" s="90"/>
    </row>
    <row r="553" ht="15.75" customHeight="1">
      <c r="A553" s="91" t="s">
        <v>211</v>
      </c>
      <c r="B553" s="92"/>
      <c r="C553" s="92"/>
      <c r="D553" s="92">
        <f t="shared" ref="D553:J553" si="50">SUM(D546:D552)</f>
        <v>0</v>
      </c>
      <c r="E553" s="92">
        <f t="shared" si="50"/>
        <v>0</v>
      </c>
      <c r="F553" s="92">
        <f t="shared" si="50"/>
        <v>0</v>
      </c>
      <c r="G553" s="92">
        <f t="shared" si="50"/>
        <v>0</v>
      </c>
      <c r="H553" s="92">
        <f t="shared" si="50"/>
        <v>0</v>
      </c>
      <c r="I553" s="92">
        <f t="shared" si="50"/>
        <v>0</v>
      </c>
      <c r="J553" s="92">
        <f t="shared" si="50"/>
        <v>0</v>
      </c>
    </row>
    <row r="554" ht="15.75" customHeight="1"/>
    <row r="555" ht="15.75" customHeight="1">
      <c r="A555" s="87" t="s">
        <v>605</v>
      </c>
      <c r="B555" s="37"/>
      <c r="C555" s="37"/>
      <c r="D555" s="37"/>
      <c r="E555" s="37"/>
      <c r="F555" s="37"/>
      <c r="G555" s="37"/>
      <c r="H555" s="37"/>
      <c r="I555" s="37"/>
      <c r="J555" s="38"/>
    </row>
    <row r="556" ht="15.75" customHeight="1">
      <c r="A556" s="39" t="s">
        <v>192</v>
      </c>
      <c r="B556" s="39" t="s">
        <v>193</v>
      </c>
      <c r="C556" s="39" t="s">
        <v>665</v>
      </c>
      <c r="D556" s="39" t="s">
        <v>195</v>
      </c>
      <c r="E556" s="39" t="s">
        <v>666</v>
      </c>
      <c r="F556" s="39" t="s">
        <v>99</v>
      </c>
      <c r="G556" s="39" t="s">
        <v>667</v>
      </c>
      <c r="H556" s="39" t="s">
        <v>135</v>
      </c>
      <c r="I556" s="39" t="s">
        <v>668</v>
      </c>
      <c r="J556" s="39" t="s">
        <v>669</v>
      </c>
    </row>
    <row r="557" ht="15.75" customHeight="1">
      <c r="A557" s="41" t="s">
        <v>201</v>
      </c>
      <c r="B557" s="41" t="s">
        <v>606</v>
      </c>
      <c r="C557" s="93"/>
      <c r="D557" s="93"/>
      <c r="E557" s="93"/>
      <c r="F557" s="93"/>
      <c r="G557" s="93"/>
      <c r="H557" s="93"/>
      <c r="I557" s="93"/>
      <c r="J557" s="93"/>
    </row>
    <row r="558" ht="15.75" customHeight="1">
      <c r="A558" s="41" t="s">
        <v>203</v>
      </c>
      <c r="B558" s="41" t="s">
        <v>607</v>
      </c>
      <c r="C558" s="93"/>
      <c r="D558" s="93"/>
      <c r="E558" s="93"/>
      <c r="F558" s="93"/>
      <c r="G558" s="93"/>
      <c r="H558" s="93"/>
      <c r="I558" s="93"/>
      <c r="J558" s="93"/>
    </row>
    <row r="559" ht="15.75" customHeight="1">
      <c r="A559" s="41" t="s">
        <v>204</v>
      </c>
      <c r="B559" s="41" t="s">
        <v>608</v>
      </c>
      <c r="C559" s="93"/>
      <c r="D559" s="93"/>
      <c r="E559" s="93"/>
      <c r="F559" s="93"/>
      <c r="G559" s="93"/>
      <c r="H559" s="93"/>
      <c r="I559" s="93"/>
      <c r="J559" s="93"/>
    </row>
    <row r="560" ht="15.75" customHeight="1">
      <c r="A560" s="41" t="s">
        <v>205</v>
      </c>
      <c r="B560" s="41" t="s">
        <v>609</v>
      </c>
      <c r="C560" s="93"/>
      <c r="D560" s="93"/>
      <c r="E560" s="93"/>
      <c r="F560" s="93"/>
      <c r="G560" s="93"/>
      <c r="H560" s="93"/>
      <c r="I560" s="93"/>
      <c r="J560" s="93"/>
    </row>
    <row r="561" ht="15.75" customHeight="1">
      <c r="A561" s="41" t="s">
        <v>206</v>
      </c>
      <c r="B561" s="41" t="s">
        <v>610</v>
      </c>
      <c r="C561" s="93"/>
      <c r="D561" s="93"/>
      <c r="E561" s="93"/>
      <c r="F561" s="93"/>
      <c r="G561" s="93"/>
      <c r="H561" s="93"/>
      <c r="I561" s="93"/>
      <c r="J561" s="93"/>
    </row>
    <row r="562" ht="15.75" customHeight="1">
      <c r="A562" s="89" t="s">
        <v>207</v>
      </c>
      <c r="B562" s="89" t="s">
        <v>611</v>
      </c>
      <c r="C562" s="90"/>
      <c r="D562" s="90"/>
      <c r="E562" s="90"/>
      <c r="F562" s="90"/>
      <c r="G562" s="90"/>
      <c r="H562" s="90"/>
      <c r="I562" s="90"/>
      <c r="J562" s="90"/>
    </row>
    <row r="563" ht="15.75" customHeight="1">
      <c r="A563" s="89" t="s">
        <v>209</v>
      </c>
      <c r="B563" s="89" t="s">
        <v>612</v>
      </c>
      <c r="C563" s="90"/>
      <c r="D563" s="90"/>
      <c r="E563" s="90"/>
      <c r="F563" s="90"/>
      <c r="G563" s="90"/>
      <c r="H563" s="90"/>
      <c r="I563" s="90"/>
      <c r="J563" s="90"/>
    </row>
    <row r="564" ht="15.75" customHeight="1">
      <c r="A564" s="91" t="s">
        <v>211</v>
      </c>
      <c r="B564" s="92"/>
      <c r="C564" s="92"/>
      <c r="D564" s="92">
        <f t="shared" ref="D564:J564" si="51">SUM(D557:D563)</f>
        <v>0</v>
      </c>
      <c r="E564" s="92">
        <f t="shared" si="51"/>
        <v>0</v>
      </c>
      <c r="F564" s="92">
        <f t="shared" si="51"/>
        <v>0</v>
      </c>
      <c r="G564" s="92">
        <f t="shared" si="51"/>
        <v>0</v>
      </c>
      <c r="H564" s="92">
        <f t="shared" si="51"/>
        <v>0</v>
      </c>
      <c r="I564" s="92">
        <f t="shared" si="51"/>
        <v>0</v>
      </c>
      <c r="J564" s="92">
        <f t="shared" si="51"/>
        <v>0</v>
      </c>
    </row>
    <row r="565" ht="15.75" customHeight="1"/>
    <row r="566" ht="15.75" customHeight="1">
      <c r="A566" s="87" t="s">
        <v>613</v>
      </c>
      <c r="B566" s="37"/>
      <c r="C566" s="37"/>
      <c r="D566" s="37"/>
      <c r="E566" s="37"/>
      <c r="F566" s="37"/>
      <c r="G566" s="37"/>
      <c r="H566" s="37"/>
      <c r="I566" s="37"/>
      <c r="J566" s="38"/>
    </row>
    <row r="567" ht="15.75" customHeight="1">
      <c r="A567" s="39" t="s">
        <v>192</v>
      </c>
      <c r="B567" s="39" t="s">
        <v>193</v>
      </c>
      <c r="C567" s="39" t="s">
        <v>665</v>
      </c>
      <c r="D567" s="39" t="s">
        <v>195</v>
      </c>
      <c r="E567" s="39" t="s">
        <v>666</v>
      </c>
      <c r="F567" s="39" t="s">
        <v>99</v>
      </c>
      <c r="G567" s="39" t="s">
        <v>667</v>
      </c>
      <c r="H567" s="39" t="s">
        <v>135</v>
      </c>
      <c r="I567" s="39" t="s">
        <v>668</v>
      </c>
      <c r="J567" s="39" t="s">
        <v>669</v>
      </c>
    </row>
    <row r="568" ht="15.75" customHeight="1">
      <c r="A568" s="41" t="s">
        <v>201</v>
      </c>
      <c r="B568" s="41" t="s">
        <v>614</v>
      </c>
      <c r="C568" s="93"/>
      <c r="D568" s="93"/>
      <c r="E568" s="93"/>
      <c r="F568" s="93"/>
      <c r="G568" s="93"/>
      <c r="H568" s="93"/>
      <c r="I568" s="93"/>
      <c r="J568" s="93"/>
    </row>
    <row r="569" ht="15.75" customHeight="1">
      <c r="A569" s="41" t="s">
        <v>203</v>
      </c>
      <c r="B569" s="41" t="s">
        <v>615</v>
      </c>
      <c r="C569" s="93"/>
      <c r="D569" s="93"/>
      <c r="E569" s="93"/>
      <c r="F569" s="93"/>
      <c r="G569" s="93"/>
      <c r="H569" s="93"/>
      <c r="I569" s="93"/>
      <c r="J569" s="93"/>
    </row>
    <row r="570" ht="15.75" customHeight="1">
      <c r="A570" s="41" t="s">
        <v>204</v>
      </c>
      <c r="B570" s="41" t="s">
        <v>616</v>
      </c>
      <c r="C570" s="93"/>
      <c r="D570" s="93"/>
      <c r="E570" s="93"/>
      <c r="F570" s="93"/>
      <c r="G570" s="93"/>
      <c r="H570" s="93"/>
      <c r="I570" s="93"/>
      <c r="J570" s="93"/>
    </row>
    <row r="571" ht="15.75" customHeight="1">
      <c r="A571" s="41" t="s">
        <v>205</v>
      </c>
      <c r="B571" s="41" t="s">
        <v>617</v>
      </c>
      <c r="C571" s="93"/>
      <c r="D571" s="93"/>
      <c r="E571" s="93"/>
      <c r="F571" s="93"/>
      <c r="G571" s="93"/>
      <c r="H571" s="93"/>
      <c r="I571" s="93"/>
      <c r="J571" s="93"/>
    </row>
    <row r="572" ht="15.75" customHeight="1">
      <c r="A572" s="41" t="s">
        <v>206</v>
      </c>
      <c r="B572" s="41" t="s">
        <v>618</v>
      </c>
      <c r="C572" s="93"/>
      <c r="D572" s="93"/>
      <c r="E572" s="93"/>
      <c r="F572" s="93"/>
      <c r="G572" s="93"/>
      <c r="H572" s="93"/>
      <c r="I572" s="93"/>
      <c r="J572" s="93"/>
    </row>
    <row r="573" ht="15.75" customHeight="1">
      <c r="A573" s="89" t="s">
        <v>207</v>
      </c>
      <c r="B573" s="89" t="s">
        <v>619</v>
      </c>
      <c r="C573" s="90"/>
      <c r="D573" s="90"/>
      <c r="E573" s="90"/>
      <c r="F573" s="90"/>
      <c r="G573" s="90"/>
      <c r="H573" s="90"/>
      <c r="I573" s="90"/>
      <c r="J573" s="90"/>
    </row>
    <row r="574" ht="15.75" customHeight="1">
      <c r="A574" s="89" t="s">
        <v>209</v>
      </c>
      <c r="B574" s="89" t="s">
        <v>620</v>
      </c>
      <c r="C574" s="90"/>
      <c r="D574" s="90"/>
      <c r="E574" s="90"/>
      <c r="F574" s="90"/>
      <c r="G574" s="90"/>
      <c r="H574" s="90"/>
      <c r="I574" s="90"/>
      <c r="J574" s="90"/>
    </row>
    <row r="575" ht="15.75" customHeight="1">
      <c r="A575" s="91" t="s">
        <v>211</v>
      </c>
      <c r="B575" s="92"/>
      <c r="C575" s="92"/>
      <c r="D575" s="92">
        <f t="shared" ref="D575:J575" si="52">SUM(D568:D574)</f>
        <v>0</v>
      </c>
      <c r="E575" s="92">
        <f t="shared" si="52"/>
        <v>0</v>
      </c>
      <c r="F575" s="92">
        <f t="shared" si="52"/>
        <v>0</v>
      </c>
      <c r="G575" s="92">
        <f t="shared" si="52"/>
        <v>0</v>
      </c>
      <c r="H575" s="92">
        <f t="shared" si="52"/>
        <v>0</v>
      </c>
      <c r="I575" s="92">
        <f t="shared" si="52"/>
        <v>0</v>
      </c>
      <c r="J575" s="92">
        <f t="shared" si="52"/>
        <v>0</v>
      </c>
    </row>
    <row r="576" ht="15.75" customHeight="1"/>
    <row r="577" ht="15.75" customHeight="1">
      <c r="A577" s="87" t="s">
        <v>621</v>
      </c>
      <c r="B577" s="37"/>
      <c r="C577" s="37"/>
      <c r="D577" s="37"/>
      <c r="E577" s="37"/>
      <c r="F577" s="37"/>
      <c r="G577" s="37"/>
      <c r="H577" s="37"/>
      <c r="I577" s="37"/>
      <c r="J577" s="38"/>
    </row>
    <row r="578" ht="15.75" customHeight="1">
      <c r="A578" s="39" t="s">
        <v>192</v>
      </c>
      <c r="B578" s="39" t="s">
        <v>193</v>
      </c>
      <c r="C578" s="39" t="s">
        <v>665</v>
      </c>
      <c r="D578" s="39" t="s">
        <v>195</v>
      </c>
      <c r="E578" s="39" t="s">
        <v>666</v>
      </c>
      <c r="F578" s="39" t="s">
        <v>99</v>
      </c>
      <c r="G578" s="39" t="s">
        <v>667</v>
      </c>
      <c r="H578" s="39" t="s">
        <v>135</v>
      </c>
      <c r="I578" s="39" t="s">
        <v>668</v>
      </c>
      <c r="J578" s="39" t="s">
        <v>669</v>
      </c>
    </row>
    <row r="579" ht="15.75" customHeight="1">
      <c r="A579" s="41" t="s">
        <v>201</v>
      </c>
      <c r="B579" s="41" t="s">
        <v>622</v>
      </c>
      <c r="C579" s="93"/>
      <c r="D579" s="93"/>
      <c r="E579" s="93"/>
      <c r="F579" s="93"/>
      <c r="G579" s="93"/>
      <c r="H579" s="93"/>
      <c r="I579" s="93"/>
      <c r="J579" s="93"/>
    </row>
    <row r="580" ht="15.75" customHeight="1">
      <c r="A580" s="41" t="s">
        <v>203</v>
      </c>
      <c r="B580" s="41" t="s">
        <v>623</v>
      </c>
      <c r="C580" s="93"/>
      <c r="D580" s="93"/>
      <c r="E580" s="93"/>
      <c r="F580" s="93"/>
      <c r="G580" s="93"/>
      <c r="H580" s="93"/>
      <c r="I580" s="93"/>
      <c r="J580" s="93"/>
    </row>
    <row r="581" ht="15.75" customHeight="1">
      <c r="A581" s="41" t="s">
        <v>204</v>
      </c>
      <c r="B581" s="41" t="s">
        <v>624</v>
      </c>
      <c r="C581" s="93"/>
      <c r="D581" s="93"/>
      <c r="E581" s="93"/>
      <c r="F581" s="93"/>
      <c r="G581" s="93"/>
      <c r="H581" s="93"/>
      <c r="I581" s="93"/>
      <c r="J581" s="93"/>
    </row>
    <row r="582" ht="15.75" customHeight="1">
      <c r="A582" s="41" t="s">
        <v>205</v>
      </c>
      <c r="B582" s="41" t="s">
        <v>625</v>
      </c>
      <c r="C582" s="93"/>
      <c r="D582" s="93"/>
      <c r="E582" s="93"/>
      <c r="F582" s="93"/>
      <c r="G582" s="93"/>
      <c r="H582" s="93"/>
      <c r="I582" s="93"/>
      <c r="J582" s="93"/>
    </row>
    <row r="583" ht="15.75" customHeight="1">
      <c r="A583" s="41" t="s">
        <v>206</v>
      </c>
      <c r="B583" s="41" t="s">
        <v>626</v>
      </c>
      <c r="C583" s="93"/>
      <c r="D583" s="93"/>
      <c r="E583" s="93"/>
      <c r="F583" s="93"/>
      <c r="G583" s="93"/>
      <c r="H583" s="93"/>
      <c r="I583" s="93"/>
      <c r="J583" s="93"/>
    </row>
    <row r="584" ht="15.75" customHeight="1">
      <c r="A584" s="89" t="s">
        <v>207</v>
      </c>
      <c r="B584" s="89" t="s">
        <v>627</v>
      </c>
      <c r="C584" s="90"/>
      <c r="D584" s="90"/>
      <c r="E584" s="90"/>
      <c r="F584" s="90"/>
      <c r="G584" s="90"/>
      <c r="H584" s="90"/>
      <c r="I584" s="90"/>
      <c r="J584" s="90"/>
    </row>
    <row r="585" ht="15.75" customHeight="1">
      <c r="A585" s="89" t="s">
        <v>209</v>
      </c>
      <c r="B585" s="89" t="s">
        <v>208</v>
      </c>
      <c r="C585" s="90"/>
      <c r="D585" s="90"/>
      <c r="E585" s="90"/>
      <c r="F585" s="90"/>
      <c r="G585" s="90"/>
      <c r="H585" s="90"/>
      <c r="I585" s="90"/>
      <c r="J585" s="90"/>
    </row>
    <row r="586" ht="15.75" customHeight="1">
      <c r="A586" s="91" t="s">
        <v>211</v>
      </c>
      <c r="B586" s="92"/>
      <c r="C586" s="92"/>
      <c r="D586" s="92">
        <f t="shared" ref="D586:J586" si="53">SUM(D579:D585)</f>
        <v>0</v>
      </c>
      <c r="E586" s="92">
        <f t="shared" si="53"/>
        <v>0</v>
      </c>
      <c r="F586" s="92">
        <f t="shared" si="53"/>
        <v>0</v>
      </c>
      <c r="G586" s="92">
        <f t="shared" si="53"/>
        <v>0</v>
      </c>
      <c r="H586" s="92">
        <f t="shared" si="53"/>
        <v>0</v>
      </c>
      <c r="I586" s="92">
        <f t="shared" si="53"/>
        <v>0</v>
      </c>
      <c r="J586" s="92">
        <f t="shared" si="53"/>
        <v>0</v>
      </c>
    </row>
    <row r="587" ht="15.75" customHeight="1"/>
    <row r="588" ht="15.75" customHeight="1"/>
    <row r="589" ht="15.75" customHeight="1">
      <c r="A589" s="94" t="s">
        <v>628</v>
      </c>
      <c r="B589" s="37"/>
      <c r="C589" s="37"/>
      <c r="D589" s="37"/>
      <c r="E589" s="37"/>
      <c r="F589" s="37"/>
      <c r="G589" s="37"/>
      <c r="H589" s="37"/>
      <c r="I589" s="37"/>
      <c r="J589" s="38"/>
    </row>
    <row r="590" ht="15.75" customHeight="1">
      <c r="A590" s="39" t="s">
        <v>629</v>
      </c>
      <c r="B590" s="39" t="s">
        <v>630</v>
      </c>
      <c r="C590" s="39" t="s">
        <v>195</v>
      </c>
      <c r="D590" s="39" t="s">
        <v>671</v>
      </c>
      <c r="E590" s="39" t="s">
        <v>672</v>
      </c>
      <c r="F590" s="39" t="s">
        <v>673</v>
      </c>
      <c r="G590" s="39" t="s">
        <v>674</v>
      </c>
      <c r="H590" s="39" t="s">
        <v>668</v>
      </c>
      <c r="I590" s="39" t="s">
        <v>675</v>
      </c>
    </row>
    <row r="591" ht="15.75" customHeight="1">
      <c r="A591" s="62" t="s">
        <v>632</v>
      </c>
      <c r="B591" s="95" t="s">
        <v>633</v>
      </c>
      <c r="C591" s="96"/>
      <c r="D591" s="96"/>
      <c r="E591" s="96"/>
      <c r="F591" s="96"/>
      <c r="G591" s="96"/>
      <c r="H591" s="96"/>
      <c r="I591" s="96"/>
      <c r="J591" s="96"/>
    </row>
    <row r="592" ht="15.75" customHeight="1">
      <c r="A592" s="62" t="s">
        <v>634</v>
      </c>
      <c r="B592" s="95" t="s">
        <v>635</v>
      </c>
      <c r="C592" s="96"/>
      <c r="D592" s="96"/>
      <c r="E592" s="96"/>
      <c r="F592" s="96"/>
      <c r="G592" s="96"/>
      <c r="H592" s="96"/>
      <c r="I592" s="96"/>
      <c r="J592" s="96"/>
    </row>
    <row r="593" ht="15.75" customHeight="1">
      <c r="A593" s="62" t="s">
        <v>636</v>
      </c>
      <c r="B593" s="95" t="s">
        <v>637</v>
      </c>
      <c r="C593" s="96"/>
      <c r="D593" s="96"/>
      <c r="E593" s="96"/>
      <c r="F593" s="96"/>
      <c r="G593" s="96"/>
      <c r="H593" s="96"/>
      <c r="I593" s="96"/>
      <c r="J593" s="96"/>
    </row>
    <row r="594" ht="15.75" customHeight="1">
      <c r="A594" s="62" t="s">
        <v>638</v>
      </c>
      <c r="B594" s="95" t="s">
        <v>639</v>
      </c>
      <c r="C594" s="96"/>
      <c r="D594" s="96"/>
      <c r="E594" s="96"/>
      <c r="F594" s="96"/>
      <c r="G594" s="96"/>
      <c r="H594" s="96"/>
      <c r="I594" s="96"/>
      <c r="J594" s="96"/>
    </row>
    <row r="595" ht="15.75" customHeight="1">
      <c r="A595" s="62" t="s">
        <v>118</v>
      </c>
      <c r="B595" s="95" t="s">
        <v>640</v>
      </c>
      <c r="C595" s="96"/>
      <c r="D595" s="96"/>
      <c r="E595" s="96"/>
      <c r="F595" s="96"/>
      <c r="G595" s="96"/>
      <c r="H595" s="96"/>
      <c r="I595" s="96"/>
      <c r="J595" s="96"/>
    </row>
    <row r="596" ht="15.75" customHeight="1">
      <c r="A596" s="62" t="s">
        <v>641</v>
      </c>
      <c r="B596" s="95" t="s">
        <v>642</v>
      </c>
      <c r="C596" s="96"/>
      <c r="D596" s="96"/>
      <c r="E596" s="96"/>
      <c r="F596" s="96"/>
      <c r="G596" s="96"/>
      <c r="H596" s="96"/>
      <c r="I596" s="96"/>
      <c r="J596" s="96"/>
    </row>
    <row r="597" ht="15.75" customHeight="1">
      <c r="A597" s="62" t="s">
        <v>643</v>
      </c>
      <c r="B597" s="95" t="s">
        <v>644</v>
      </c>
      <c r="C597" s="96"/>
      <c r="D597" s="96"/>
      <c r="E597" s="96"/>
      <c r="F597" s="96"/>
      <c r="G597" s="96"/>
      <c r="H597" s="96"/>
      <c r="I597" s="96"/>
      <c r="J597" s="96"/>
    </row>
    <row r="598" ht="15.75" customHeight="1">
      <c r="A598" s="62" t="s">
        <v>645</v>
      </c>
      <c r="B598" s="95" t="s">
        <v>646</v>
      </c>
      <c r="C598" s="96"/>
      <c r="D598" s="96"/>
      <c r="E598" s="96"/>
      <c r="F598" s="96"/>
      <c r="G598" s="96"/>
      <c r="H598" s="96"/>
      <c r="I598" s="96"/>
      <c r="J598" s="96"/>
    </row>
    <row r="599" ht="15.75" customHeight="1">
      <c r="A599" s="62" t="s">
        <v>647</v>
      </c>
      <c r="B599" s="95" t="s">
        <v>648</v>
      </c>
      <c r="C599" s="96"/>
      <c r="D599" s="96"/>
      <c r="E599" s="96"/>
      <c r="F599" s="96"/>
      <c r="G599" s="96"/>
      <c r="H599" s="96"/>
      <c r="I599" s="96"/>
      <c r="J599" s="96"/>
    </row>
    <row r="600" ht="15.75" customHeight="1">
      <c r="A600" s="62" t="s">
        <v>649</v>
      </c>
      <c r="B600" s="95" t="s">
        <v>650</v>
      </c>
      <c r="C600" s="96"/>
      <c r="D600" s="96"/>
      <c r="E600" s="96"/>
      <c r="F600" s="96"/>
      <c r="G600" s="96"/>
      <c r="H600" s="96"/>
      <c r="I600" s="96"/>
      <c r="J600" s="96"/>
    </row>
    <row r="601" ht="15.75" customHeight="1">
      <c r="A601" s="62" t="s">
        <v>651</v>
      </c>
      <c r="B601" s="95" t="s">
        <v>652</v>
      </c>
      <c r="C601" s="96"/>
      <c r="D601" s="96"/>
      <c r="E601" s="96"/>
      <c r="F601" s="96"/>
      <c r="G601" s="96"/>
      <c r="H601" s="96"/>
      <c r="I601" s="96"/>
      <c r="J601" s="96"/>
    </row>
    <row r="602" ht="15.75" customHeight="1">
      <c r="A602" s="62" t="s">
        <v>653</v>
      </c>
      <c r="B602" s="95" t="s">
        <v>654</v>
      </c>
      <c r="C602" s="96"/>
      <c r="D602" s="96"/>
      <c r="E602" s="96"/>
      <c r="F602" s="96"/>
      <c r="G602" s="96"/>
      <c r="H602" s="96"/>
      <c r="I602" s="96"/>
      <c r="J602" s="96"/>
    </row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A1:J1"/>
    <mergeCell ref="A3:J3"/>
    <mergeCell ref="A5:J5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  <mergeCell ref="A126:J126"/>
    <mergeCell ref="A137:J137"/>
    <mergeCell ref="A148:J148"/>
    <mergeCell ref="A159:J159"/>
    <mergeCell ref="A170:J170"/>
    <mergeCell ref="A181:J181"/>
    <mergeCell ref="A192:J192"/>
    <mergeCell ref="A203:J203"/>
    <mergeCell ref="A214:J214"/>
    <mergeCell ref="A225:J225"/>
    <mergeCell ref="A236:J236"/>
    <mergeCell ref="A247:J247"/>
    <mergeCell ref="A258:J258"/>
    <mergeCell ref="A269:J269"/>
    <mergeCell ref="A280:J280"/>
    <mergeCell ref="A291:J291"/>
    <mergeCell ref="A302:J302"/>
    <mergeCell ref="A313:J313"/>
    <mergeCell ref="A324:J324"/>
    <mergeCell ref="A335:J335"/>
    <mergeCell ref="A346:J346"/>
    <mergeCell ref="A357:J357"/>
    <mergeCell ref="A368:J368"/>
    <mergeCell ref="A379:J379"/>
    <mergeCell ref="A390:J390"/>
    <mergeCell ref="A401:J401"/>
    <mergeCell ref="A412:J412"/>
    <mergeCell ref="A423:J423"/>
    <mergeCell ref="A434:J434"/>
    <mergeCell ref="A522:J522"/>
    <mergeCell ref="A533:J533"/>
    <mergeCell ref="A544:J544"/>
    <mergeCell ref="A555:J555"/>
    <mergeCell ref="A566:J566"/>
    <mergeCell ref="A577:J577"/>
    <mergeCell ref="A589:J589"/>
    <mergeCell ref="A445:J445"/>
    <mergeCell ref="A456:J456"/>
    <mergeCell ref="A467:J467"/>
    <mergeCell ref="A478:J478"/>
    <mergeCell ref="A489:J489"/>
    <mergeCell ref="A500:J500"/>
    <mergeCell ref="A511:J51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4" width="14.0"/>
    <col customWidth="1" min="5" max="6" width="12.0"/>
    <col customWidth="1" min="7" max="7" width="14.0"/>
    <col customWidth="1" min="8" max="8" width="16.0"/>
    <col customWidth="1" min="9" max="9" width="12.0"/>
    <col customWidth="1" min="10" max="11" width="14.0"/>
    <col customWidth="1" min="12" max="12" width="20.0"/>
  </cols>
  <sheetData>
    <row r="1" ht="39.75" customHeight="1">
      <c r="A1" s="64" t="s">
        <v>676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>
      <c r="A3" s="43" t="s">
        <v>677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5">
      <c r="A5" s="68" t="s">
        <v>678</v>
      </c>
      <c r="B5" s="68" t="s">
        <v>679</v>
      </c>
      <c r="C5" s="68" t="s">
        <v>680</v>
      </c>
      <c r="D5" s="68" t="s">
        <v>681</v>
      </c>
      <c r="E5" s="68" t="s">
        <v>682</v>
      </c>
      <c r="F5" s="68" t="s">
        <v>683</v>
      </c>
      <c r="G5" s="68" t="s">
        <v>684</v>
      </c>
      <c r="H5" s="68" t="s">
        <v>685</v>
      </c>
      <c r="I5" s="68" t="s">
        <v>686</v>
      </c>
      <c r="J5" s="68" t="s">
        <v>143</v>
      </c>
      <c r="K5" s="68" t="s">
        <v>156</v>
      </c>
      <c r="L5" s="68" t="s">
        <v>166</v>
      </c>
    </row>
    <row r="6">
      <c r="A6" s="71" t="s">
        <v>687</v>
      </c>
      <c r="B6" s="71" t="s">
        <v>688</v>
      </c>
      <c r="C6" s="71" t="s">
        <v>689</v>
      </c>
      <c r="D6" s="97">
        <v>85000.0</v>
      </c>
      <c r="E6" s="97">
        <v>150000.0</v>
      </c>
      <c r="F6" s="97">
        <v>25000.0</v>
      </c>
      <c r="G6" s="97">
        <v>15000.0</v>
      </c>
      <c r="H6" s="71" t="s">
        <v>690</v>
      </c>
      <c r="I6" s="71" t="s">
        <v>691</v>
      </c>
      <c r="J6" s="97" t="s">
        <v>692</v>
      </c>
      <c r="K6" s="71" t="s">
        <v>692</v>
      </c>
      <c r="L6" s="71" t="s">
        <v>693</v>
      </c>
    </row>
    <row r="7">
      <c r="A7" s="71" t="s">
        <v>694</v>
      </c>
      <c r="B7" s="71" t="s">
        <v>695</v>
      </c>
      <c r="C7" s="71" t="s">
        <v>696</v>
      </c>
      <c r="D7" s="97">
        <v>120000.0</v>
      </c>
      <c r="E7" s="97">
        <v>200000.0</v>
      </c>
      <c r="F7" s="97">
        <v>35000.0</v>
      </c>
      <c r="G7" s="97">
        <v>22000.0</v>
      </c>
      <c r="H7" s="71" t="s">
        <v>697</v>
      </c>
      <c r="I7" s="71" t="s">
        <v>698</v>
      </c>
      <c r="J7" s="97" t="s">
        <v>692</v>
      </c>
      <c r="K7" s="71" t="s">
        <v>692</v>
      </c>
      <c r="L7" s="71" t="s">
        <v>699</v>
      </c>
    </row>
    <row r="8">
      <c r="A8" s="71" t="s">
        <v>700</v>
      </c>
      <c r="B8" s="71" t="s">
        <v>688</v>
      </c>
      <c r="C8" s="71" t="s">
        <v>701</v>
      </c>
      <c r="D8" s="97">
        <v>95000.0</v>
      </c>
      <c r="E8" s="97">
        <v>175000.0</v>
      </c>
      <c r="F8" s="97">
        <v>40000.0</v>
      </c>
      <c r="G8" s="97">
        <v>18000.0</v>
      </c>
      <c r="H8" s="71" t="s">
        <v>702</v>
      </c>
      <c r="I8" s="71" t="s">
        <v>703</v>
      </c>
      <c r="J8" s="97" t="s">
        <v>704</v>
      </c>
      <c r="K8" s="71" t="s">
        <v>704</v>
      </c>
      <c r="L8" s="71" t="s">
        <v>705</v>
      </c>
    </row>
    <row r="9">
      <c r="A9" s="71" t="s">
        <v>706</v>
      </c>
      <c r="B9" s="71" t="s">
        <v>707</v>
      </c>
      <c r="C9" s="71" t="s">
        <v>708</v>
      </c>
      <c r="D9" s="97">
        <v>110000.0</v>
      </c>
      <c r="E9" s="97">
        <v>185000.0</v>
      </c>
      <c r="F9" s="97">
        <v>30000.0</v>
      </c>
      <c r="G9" s="97">
        <v>20000.0</v>
      </c>
      <c r="H9" s="71" t="s">
        <v>709</v>
      </c>
      <c r="I9" s="71"/>
      <c r="J9" s="97" t="s">
        <v>704</v>
      </c>
      <c r="K9" s="71" t="s">
        <v>710</v>
      </c>
      <c r="L9" s="71" t="s">
        <v>711</v>
      </c>
    </row>
    <row r="10">
      <c r="A10" s="98" t="s">
        <v>712</v>
      </c>
      <c r="B10" s="98" t="s">
        <v>688</v>
      </c>
      <c r="C10" s="98" t="s">
        <v>713</v>
      </c>
      <c r="D10" s="98">
        <v>78000.0</v>
      </c>
      <c r="E10" s="98">
        <v>140000.0</v>
      </c>
      <c r="F10" s="98">
        <v>22000.0</v>
      </c>
      <c r="G10" s="98">
        <v>12000.0</v>
      </c>
      <c r="H10" s="98" t="s">
        <v>714</v>
      </c>
      <c r="I10" s="98" t="s">
        <v>715</v>
      </c>
      <c r="J10" s="98" t="s">
        <v>692</v>
      </c>
      <c r="K10" s="98" t="s">
        <v>692</v>
      </c>
      <c r="L10" s="98" t="s">
        <v>716</v>
      </c>
    </row>
    <row r="11">
      <c r="A11" s="98" t="s">
        <v>717</v>
      </c>
      <c r="B11" s="98" t="s">
        <v>707</v>
      </c>
      <c r="C11" s="98" t="s">
        <v>718</v>
      </c>
      <c r="D11" s="98">
        <v>92000.0</v>
      </c>
      <c r="E11" s="98">
        <v>160000.0</v>
      </c>
      <c r="F11" s="98">
        <v>28000.0</v>
      </c>
      <c r="G11" s="98">
        <v>16000.0</v>
      </c>
      <c r="H11" s="98" t="s">
        <v>719</v>
      </c>
      <c r="I11" s="98" t="s">
        <v>720</v>
      </c>
      <c r="J11" s="98" t="s">
        <v>692</v>
      </c>
      <c r="K11" s="98" t="s">
        <v>692</v>
      </c>
      <c r="L11" s="98" t="s">
        <v>721</v>
      </c>
    </row>
    <row r="12">
      <c r="A12" s="98" t="s">
        <v>722</v>
      </c>
      <c r="B12" s="98" t="s">
        <v>723</v>
      </c>
      <c r="C12" s="98" t="s">
        <v>724</v>
      </c>
      <c r="D12" s="98">
        <v>65000.0</v>
      </c>
      <c r="E12" s="98">
        <v>130000.0</v>
      </c>
      <c r="F12" s="98">
        <v>35000.0</v>
      </c>
      <c r="G12" s="98">
        <v>10000.0</v>
      </c>
      <c r="H12" s="98" t="s">
        <v>690</v>
      </c>
      <c r="I12" s="98" t="s">
        <v>725</v>
      </c>
      <c r="J12" s="98" t="s">
        <v>692</v>
      </c>
      <c r="K12" s="98" t="s">
        <v>692</v>
      </c>
      <c r="L12" s="98" t="s">
        <v>726</v>
      </c>
    </row>
    <row r="13">
      <c r="A13" s="98" t="s">
        <v>727</v>
      </c>
      <c r="B13" s="98" t="s">
        <v>688</v>
      </c>
      <c r="C13" s="98" t="s">
        <v>728</v>
      </c>
      <c r="D13" s="98">
        <v>105000.0</v>
      </c>
      <c r="E13" s="98">
        <v>190000.0</v>
      </c>
      <c r="F13" s="98">
        <v>40000.0</v>
      </c>
      <c r="G13" s="98">
        <v>18000.0</v>
      </c>
      <c r="H13" s="98" t="s">
        <v>709</v>
      </c>
      <c r="I13" s="98" t="s">
        <v>729</v>
      </c>
      <c r="J13" s="98" t="s">
        <v>692</v>
      </c>
      <c r="K13" s="98" t="s">
        <v>692</v>
      </c>
      <c r="L13" s="98" t="s">
        <v>730</v>
      </c>
    </row>
    <row r="14">
      <c r="A14" s="98" t="s">
        <v>731</v>
      </c>
      <c r="B14" s="98" t="s">
        <v>707</v>
      </c>
      <c r="C14" s="98" t="s">
        <v>732</v>
      </c>
      <c r="D14" s="98">
        <v>88000.0</v>
      </c>
      <c r="E14" s="98">
        <v>155000.0</v>
      </c>
      <c r="F14" s="98">
        <v>25000.0</v>
      </c>
      <c r="G14" s="98">
        <v>14000.0</v>
      </c>
      <c r="H14" s="98" t="s">
        <v>702</v>
      </c>
      <c r="I14" s="98" t="s">
        <v>733</v>
      </c>
      <c r="J14" s="98" t="s">
        <v>692</v>
      </c>
      <c r="K14" s="98" t="s">
        <v>692</v>
      </c>
      <c r="L14" s="98" t="s">
        <v>734</v>
      </c>
    </row>
    <row r="15">
      <c r="A15" s="98" t="s">
        <v>735</v>
      </c>
      <c r="B15" s="98" t="s">
        <v>695</v>
      </c>
      <c r="C15" s="98" t="s">
        <v>736</v>
      </c>
      <c r="D15" s="98">
        <v>72000.0</v>
      </c>
      <c r="E15" s="98">
        <v>135000.0</v>
      </c>
      <c r="F15" s="98">
        <v>30000.0</v>
      </c>
      <c r="G15" s="98">
        <v>11000.0</v>
      </c>
      <c r="H15" s="98" t="s">
        <v>737</v>
      </c>
      <c r="I15" s="98" t="s">
        <v>738</v>
      </c>
      <c r="J15" s="98" t="s">
        <v>692</v>
      </c>
      <c r="K15" s="98" t="s">
        <v>692</v>
      </c>
      <c r="L15" s="98" t="s">
        <v>739</v>
      </c>
    </row>
    <row r="16">
      <c r="A16" s="98" t="s">
        <v>740</v>
      </c>
      <c r="B16" s="98" t="s">
        <v>688</v>
      </c>
      <c r="C16" s="98" t="s">
        <v>741</v>
      </c>
      <c r="D16" s="98">
        <v>95000.0</v>
      </c>
      <c r="E16" s="98">
        <v>170000.0</v>
      </c>
      <c r="F16" s="98">
        <v>32000.0</v>
      </c>
      <c r="G16" s="98">
        <v>15000.0</v>
      </c>
      <c r="H16" s="98" t="s">
        <v>697</v>
      </c>
      <c r="I16" s="98" t="s">
        <v>742</v>
      </c>
      <c r="J16" s="98" t="s">
        <v>692</v>
      </c>
      <c r="K16" s="98" t="s">
        <v>692</v>
      </c>
      <c r="L16" s="98" t="s">
        <v>743</v>
      </c>
    </row>
    <row r="17">
      <c r="A17" s="98" t="s">
        <v>744</v>
      </c>
      <c r="B17" s="98" t="s">
        <v>723</v>
      </c>
      <c r="C17" s="98" t="s">
        <v>745</v>
      </c>
      <c r="D17" s="98">
        <v>110000.0</v>
      </c>
      <c r="E17" s="98">
        <v>195000.0</v>
      </c>
      <c r="F17" s="98">
        <v>38000.0</v>
      </c>
      <c r="G17" s="98">
        <v>20000.0</v>
      </c>
      <c r="H17" s="98" t="s">
        <v>714</v>
      </c>
      <c r="I17" s="98" t="s">
        <v>746</v>
      </c>
      <c r="J17" s="98" t="s">
        <v>692</v>
      </c>
      <c r="K17" s="98" t="s">
        <v>692</v>
      </c>
      <c r="L17" s="98" t="s">
        <v>747</v>
      </c>
    </row>
    <row r="18">
      <c r="A18" s="98" t="s">
        <v>748</v>
      </c>
      <c r="B18" s="98" t="s">
        <v>749</v>
      </c>
      <c r="C18" s="98" t="s">
        <v>750</v>
      </c>
      <c r="D18" s="98">
        <v>82000.0</v>
      </c>
      <c r="E18" s="98">
        <v>145000.0</v>
      </c>
      <c r="F18" s="98">
        <v>20000.0</v>
      </c>
      <c r="G18" s="98">
        <v>13000.0</v>
      </c>
      <c r="H18" s="98" t="s">
        <v>719</v>
      </c>
      <c r="I18" s="98" t="s">
        <v>751</v>
      </c>
      <c r="J18" s="98" t="s">
        <v>692</v>
      </c>
      <c r="K18" s="98" t="s">
        <v>692</v>
      </c>
      <c r="L18" s="98" t="s">
        <v>752</v>
      </c>
    </row>
    <row r="19">
      <c r="A19" s="98" t="s">
        <v>753</v>
      </c>
      <c r="B19" s="98" t="s">
        <v>707</v>
      </c>
      <c r="C19" s="98" t="s">
        <v>754</v>
      </c>
      <c r="D19" s="98">
        <v>98000.0</v>
      </c>
      <c r="E19" s="98">
        <v>175000.0</v>
      </c>
      <c r="F19" s="98">
        <v>35000.0</v>
      </c>
      <c r="G19" s="98">
        <v>17000.0</v>
      </c>
      <c r="H19" s="98" t="s">
        <v>709</v>
      </c>
      <c r="I19" s="98" t="s">
        <v>755</v>
      </c>
      <c r="J19" s="98" t="s">
        <v>692</v>
      </c>
      <c r="K19" s="98" t="s">
        <v>692</v>
      </c>
      <c r="L19" s="98" t="s">
        <v>756</v>
      </c>
    </row>
    <row r="20">
      <c r="A20" s="98" t="s">
        <v>757</v>
      </c>
      <c r="B20" s="98" t="s">
        <v>688</v>
      </c>
      <c r="C20" s="98" t="s">
        <v>758</v>
      </c>
      <c r="D20" s="98">
        <v>68000.0</v>
      </c>
      <c r="E20" s="98">
        <v>125000.0</v>
      </c>
      <c r="F20" s="98">
        <v>18000.0</v>
      </c>
      <c r="G20" s="98">
        <v>12000.0</v>
      </c>
      <c r="H20" s="98" t="s">
        <v>690</v>
      </c>
      <c r="I20" s="98"/>
      <c r="J20" s="98" t="s">
        <v>692</v>
      </c>
      <c r="K20" s="98" t="s">
        <v>692</v>
      </c>
      <c r="L20" s="98" t="s">
        <v>759</v>
      </c>
    </row>
    <row r="21" ht="15.75" customHeight="1">
      <c r="A21" s="98" t="s">
        <v>760</v>
      </c>
      <c r="B21" s="98" t="s">
        <v>688</v>
      </c>
      <c r="C21" s="98" t="s">
        <v>761</v>
      </c>
      <c r="D21" s="98">
        <v>115000.0</v>
      </c>
      <c r="E21" s="98">
        <v>200000.0</v>
      </c>
      <c r="F21" s="98">
        <v>40000.0</v>
      </c>
      <c r="G21" s="98">
        <v>19000.0</v>
      </c>
      <c r="H21" s="98" t="s">
        <v>702</v>
      </c>
      <c r="I21" s="98" t="s">
        <v>762</v>
      </c>
      <c r="J21" s="98" t="s">
        <v>692</v>
      </c>
      <c r="K21" s="98" t="s">
        <v>692</v>
      </c>
      <c r="L21" s="98" t="s">
        <v>716</v>
      </c>
    </row>
    <row r="22" ht="15.75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</row>
    <row r="23" ht="15.7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</row>
    <row r="24" ht="15.75" customHeight="1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</row>
    <row r="25" ht="15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</row>
    <row r="26" ht="15.7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</row>
    <row r="27" ht="15.75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</row>
    <row r="30" ht="15.75" customHeight="1"/>
    <row r="31" ht="15.75" customHeight="1">
      <c r="A31" s="5" t="s">
        <v>763</v>
      </c>
      <c r="B31" s="2"/>
      <c r="C31" s="2"/>
      <c r="D31" s="2"/>
      <c r="E31" s="3"/>
    </row>
    <row r="32" ht="15.75" customHeight="1">
      <c r="A32" s="68" t="s">
        <v>156</v>
      </c>
      <c r="B32" s="68" t="s">
        <v>764</v>
      </c>
      <c r="C32" s="68" t="s">
        <v>765</v>
      </c>
      <c r="D32" s="68" t="s">
        <v>766</v>
      </c>
    </row>
    <row r="33" ht="15.75" customHeight="1">
      <c r="A33" s="23" t="s">
        <v>692</v>
      </c>
      <c r="B33" s="99">
        <v>14.0</v>
      </c>
      <c r="C33" s="100">
        <f>SUMIF(K6:K29,A33,J6:J29)</f>
        <v>0</v>
      </c>
      <c r="D33" s="100">
        <f t="shared" ref="D33:D37" si="1">IFERROR(C33/B33,0)</f>
        <v>0</v>
      </c>
    </row>
    <row r="34" ht="15.75" customHeight="1">
      <c r="A34" s="23" t="s">
        <v>704</v>
      </c>
      <c r="B34" s="99">
        <v>1.0</v>
      </c>
      <c r="C34" s="100">
        <f>SUMIF(K6:K29,A34,G6:G29)</f>
        <v>18000</v>
      </c>
      <c r="D34" s="100">
        <f t="shared" si="1"/>
        <v>18000</v>
      </c>
    </row>
    <row r="35" ht="15.75" customHeight="1">
      <c r="A35" s="23" t="s">
        <v>710</v>
      </c>
      <c r="B35" s="99">
        <v>1.0</v>
      </c>
      <c r="C35" s="100">
        <f>SUMIF(K6:K29,A35,G6:G29)</f>
        <v>20000</v>
      </c>
      <c r="D35" s="100">
        <f t="shared" si="1"/>
        <v>20000</v>
      </c>
    </row>
    <row r="36" ht="15.75" customHeight="1">
      <c r="A36" s="23" t="s">
        <v>767</v>
      </c>
      <c r="B36" s="99">
        <f>COUNTIF(K6:K29,A36)</f>
        <v>0</v>
      </c>
      <c r="C36" s="100">
        <f>SUMIF(K6:K29,A36,G6:G29)</f>
        <v>0</v>
      </c>
      <c r="D36" s="100">
        <f t="shared" si="1"/>
        <v>0</v>
      </c>
    </row>
    <row r="37" ht="15.75" customHeight="1">
      <c r="A37" s="101" t="s">
        <v>768</v>
      </c>
      <c r="B37" s="102">
        <v>16.0</v>
      </c>
      <c r="C37" s="103">
        <f>SUM(C33:C36)</f>
        <v>38000</v>
      </c>
      <c r="D37" s="103">
        <f t="shared" si="1"/>
        <v>2375</v>
      </c>
    </row>
    <row r="38" ht="15.75" customHeight="1"/>
    <row r="39" ht="15.75" customHeight="1">
      <c r="A39" s="5" t="s">
        <v>769</v>
      </c>
      <c r="B39" s="2"/>
      <c r="C39" s="2"/>
      <c r="D39" s="3"/>
    </row>
    <row r="40" ht="15.75" customHeight="1">
      <c r="A40" s="68" t="s">
        <v>679</v>
      </c>
      <c r="B40" s="68" t="s">
        <v>770</v>
      </c>
      <c r="C40" s="68" t="s">
        <v>771</v>
      </c>
      <c r="D40" s="68" t="s">
        <v>772</v>
      </c>
    </row>
    <row r="41" ht="15.75" customHeight="1">
      <c r="A41" s="25" t="s">
        <v>688</v>
      </c>
      <c r="B41" s="99">
        <v>7.0</v>
      </c>
      <c r="C41" s="100">
        <f>SUMIF(B6:B29,A41,J6:J29)</f>
        <v>0</v>
      </c>
      <c r="D41" s="100">
        <f t="shared" ref="D41:D46" si="2">IFERROR(C41/B41,0)</f>
        <v>0</v>
      </c>
    </row>
    <row r="42" ht="15.75" customHeight="1">
      <c r="A42" s="25" t="s">
        <v>707</v>
      </c>
      <c r="B42" s="99">
        <v>3.0</v>
      </c>
      <c r="C42" s="100">
        <f>SUMIF(B6:B29,A42,J6:J29)</f>
        <v>0</v>
      </c>
      <c r="D42" s="100">
        <f t="shared" si="2"/>
        <v>0</v>
      </c>
    </row>
    <row r="43" ht="15.75" customHeight="1">
      <c r="A43" s="25" t="s">
        <v>695</v>
      </c>
      <c r="B43" s="99">
        <v>2.0</v>
      </c>
      <c r="C43" s="100">
        <f>SUMIF(B6:B29,A43,J6:J29)</f>
        <v>0</v>
      </c>
      <c r="D43" s="100">
        <f t="shared" si="2"/>
        <v>0</v>
      </c>
    </row>
    <row r="44" ht="15.75" customHeight="1">
      <c r="A44" s="25" t="s">
        <v>723</v>
      </c>
      <c r="B44" s="99">
        <v>2.0</v>
      </c>
      <c r="C44" s="100">
        <f>SUMIF(B6:B29,A44,J6:J29)</f>
        <v>0</v>
      </c>
      <c r="D44" s="100">
        <f t="shared" si="2"/>
        <v>0</v>
      </c>
    </row>
    <row r="45" ht="15.75" customHeight="1">
      <c r="A45" s="25" t="s">
        <v>749</v>
      </c>
      <c r="B45" s="99">
        <v>1.0</v>
      </c>
      <c r="C45" s="100">
        <f>SUMIF(B6:B29,A45,J6:J29)</f>
        <v>0</v>
      </c>
      <c r="D45" s="100">
        <f t="shared" si="2"/>
        <v>0</v>
      </c>
    </row>
    <row r="46" ht="15.75" customHeight="1">
      <c r="A46" s="25" t="s">
        <v>773</v>
      </c>
      <c r="B46" s="99">
        <v>0.0</v>
      </c>
      <c r="C46" s="100">
        <f>SUMIF(B6:B29,A46,J6:J29)</f>
        <v>0</v>
      </c>
      <c r="D46" s="100">
        <f t="shared" si="2"/>
        <v>0</v>
      </c>
    </row>
    <row r="47" ht="15.75" customHeight="1">
      <c r="A47" s="17" t="s">
        <v>774</v>
      </c>
      <c r="B47" s="17">
        <v>1.0</v>
      </c>
    </row>
    <row r="48" ht="15.75" customHeight="1">
      <c r="A48" s="17" t="s">
        <v>775</v>
      </c>
      <c r="B48" s="17">
        <v>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3:L3"/>
    <mergeCell ref="A31:E31"/>
    <mergeCell ref="A39:D3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5.0"/>
    <col customWidth="1" min="4" max="4" width="25.0"/>
    <col customWidth="1" min="5" max="6" width="8.71"/>
  </cols>
  <sheetData>
    <row r="1" ht="39.75" customHeight="1">
      <c r="A1" s="64" t="s">
        <v>776</v>
      </c>
      <c r="B1" s="2"/>
      <c r="C1" s="2"/>
      <c r="D1" s="2"/>
      <c r="E1" s="2"/>
      <c r="F1" s="3"/>
    </row>
    <row r="3">
      <c r="A3" s="43" t="s">
        <v>777</v>
      </c>
      <c r="B3" s="2"/>
      <c r="C3" s="2"/>
      <c r="D3" s="2"/>
      <c r="E3" s="2"/>
      <c r="F3" s="3"/>
    </row>
    <row r="5">
      <c r="A5" s="5" t="s">
        <v>778</v>
      </c>
      <c r="B5" s="2"/>
      <c r="C5" s="2"/>
      <c r="D5" s="3"/>
    </row>
    <row r="6">
      <c r="A6" s="68" t="s">
        <v>779</v>
      </c>
      <c r="B6" s="68" t="s">
        <v>780</v>
      </c>
      <c r="C6" s="68" t="s">
        <v>781</v>
      </c>
      <c r="D6" s="68" t="s">
        <v>166</v>
      </c>
    </row>
    <row r="7">
      <c r="A7" s="23" t="s">
        <v>782</v>
      </c>
      <c r="B7" s="97">
        <v>800.0</v>
      </c>
      <c r="C7" s="100">
        <f t="shared" ref="C7:C11" si="1">B7*12</f>
        <v>9600</v>
      </c>
      <c r="D7" s="26" t="s">
        <v>783</v>
      </c>
    </row>
    <row r="8">
      <c r="A8" s="23" t="s">
        <v>784</v>
      </c>
      <c r="B8" s="97">
        <v>800.0</v>
      </c>
      <c r="C8" s="100">
        <f t="shared" si="1"/>
        <v>9600</v>
      </c>
      <c r="D8" s="26" t="s">
        <v>785</v>
      </c>
    </row>
    <row r="9">
      <c r="A9" s="23" t="s">
        <v>786</v>
      </c>
      <c r="B9" s="97">
        <v>1200.0</v>
      </c>
      <c r="C9" s="100">
        <f t="shared" si="1"/>
        <v>14400</v>
      </c>
      <c r="D9" s="26" t="s">
        <v>787</v>
      </c>
    </row>
    <row r="10">
      <c r="A10" s="23" t="s">
        <v>788</v>
      </c>
      <c r="B10" s="97">
        <v>3000.0</v>
      </c>
      <c r="C10" s="100">
        <f t="shared" si="1"/>
        <v>36000</v>
      </c>
      <c r="D10" s="26" t="s">
        <v>789</v>
      </c>
    </row>
    <row r="11">
      <c r="A11" s="23" t="s">
        <v>790</v>
      </c>
      <c r="B11" s="97">
        <v>0.0</v>
      </c>
      <c r="C11" s="100">
        <f t="shared" si="1"/>
        <v>0</v>
      </c>
      <c r="D11" s="26" t="s">
        <v>791</v>
      </c>
    </row>
    <row r="12">
      <c r="A12" s="23"/>
      <c r="B12" s="104"/>
      <c r="C12" s="100"/>
      <c r="D12" s="16"/>
    </row>
    <row r="13">
      <c r="A13" s="77" t="s">
        <v>792</v>
      </c>
      <c r="B13" s="105">
        <f t="shared" ref="B13:C13" si="2">SUM(B7:B11)</f>
        <v>5800</v>
      </c>
      <c r="C13" s="105">
        <f t="shared" si="2"/>
        <v>69600</v>
      </c>
    </row>
    <row r="15">
      <c r="A15" s="5" t="s">
        <v>793</v>
      </c>
      <c r="B15" s="2"/>
      <c r="C15" s="2"/>
      <c r="D15" s="3"/>
    </row>
    <row r="16">
      <c r="A16" s="68" t="s">
        <v>779</v>
      </c>
      <c r="B16" s="68" t="s">
        <v>780</v>
      </c>
      <c r="C16" s="68" t="s">
        <v>781</v>
      </c>
      <c r="D16" s="68" t="s">
        <v>166</v>
      </c>
    </row>
    <row r="17">
      <c r="A17" s="23" t="s">
        <v>794</v>
      </c>
      <c r="B17" s="97">
        <v>497.0</v>
      </c>
      <c r="C17" s="100">
        <f t="shared" ref="C17:C24" si="3">B17*12</f>
        <v>5964</v>
      </c>
      <c r="D17" s="26" t="s">
        <v>795</v>
      </c>
    </row>
    <row r="18">
      <c r="A18" s="23" t="s">
        <v>796</v>
      </c>
      <c r="B18" s="97">
        <v>75.0</v>
      </c>
      <c r="C18" s="100">
        <f t="shared" si="3"/>
        <v>900</v>
      </c>
      <c r="D18" s="26"/>
    </row>
    <row r="19">
      <c r="A19" s="23" t="s">
        <v>797</v>
      </c>
      <c r="B19" s="97">
        <v>39.0</v>
      </c>
      <c r="C19" s="100">
        <f t="shared" si="3"/>
        <v>468</v>
      </c>
      <c r="D19" s="26"/>
    </row>
    <row r="20">
      <c r="A20" s="23" t="s">
        <v>798</v>
      </c>
      <c r="B20" s="97">
        <v>52.5</v>
      </c>
      <c r="C20" s="100">
        <f t="shared" si="3"/>
        <v>630</v>
      </c>
      <c r="D20" s="26" t="s">
        <v>799</v>
      </c>
    </row>
    <row r="21">
      <c r="A21" s="23" t="s">
        <v>800</v>
      </c>
      <c r="B21" s="97">
        <v>99.0</v>
      </c>
      <c r="C21" s="100">
        <f t="shared" si="3"/>
        <v>1188</v>
      </c>
      <c r="D21" s="26"/>
    </row>
    <row r="22" ht="15.75" customHeight="1">
      <c r="A22" s="23" t="s">
        <v>801</v>
      </c>
      <c r="B22" s="97">
        <v>55.0</v>
      </c>
      <c r="C22" s="100">
        <f t="shared" si="3"/>
        <v>660</v>
      </c>
      <c r="D22" s="26"/>
    </row>
    <row r="23" ht="15.75" customHeight="1">
      <c r="A23" s="23" t="s">
        <v>802</v>
      </c>
      <c r="B23" s="97">
        <v>200.0</v>
      </c>
      <c r="C23" s="100">
        <f t="shared" si="3"/>
        <v>2400</v>
      </c>
      <c r="D23" s="26"/>
    </row>
    <row r="24" ht="15.75" customHeight="1">
      <c r="A24" s="23" t="s">
        <v>803</v>
      </c>
      <c r="B24" s="97">
        <v>100.0</v>
      </c>
      <c r="C24" s="100">
        <f t="shared" si="3"/>
        <v>1200</v>
      </c>
      <c r="D24" s="26"/>
    </row>
    <row r="25" ht="15.75" customHeight="1">
      <c r="A25" s="77" t="s">
        <v>804</v>
      </c>
      <c r="B25" s="105">
        <f t="shared" ref="B25:C25" si="4">SUM(B17:B24)</f>
        <v>1117.5</v>
      </c>
      <c r="C25" s="105">
        <f t="shared" si="4"/>
        <v>13410</v>
      </c>
    </row>
    <row r="26" ht="15.75" customHeight="1"/>
    <row r="27" ht="15.75" customHeight="1">
      <c r="A27" s="5" t="s">
        <v>805</v>
      </c>
      <c r="B27" s="2"/>
      <c r="C27" s="2"/>
      <c r="D27" s="3"/>
    </row>
    <row r="28" ht="15.75" customHeight="1">
      <c r="A28" s="68" t="s">
        <v>779</v>
      </c>
      <c r="B28" s="68" t="s">
        <v>780</v>
      </c>
      <c r="C28" s="68" t="s">
        <v>781</v>
      </c>
      <c r="D28" s="68" t="s">
        <v>166</v>
      </c>
    </row>
    <row r="29" ht="15.75" customHeight="1">
      <c r="A29" s="23" t="s">
        <v>695</v>
      </c>
      <c r="B29" s="97">
        <v>100.0</v>
      </c>
      <c r="C29" s="100">
        <f t="shared" ref="C29:C34" si="5">B29*12</f>
        <v>1200</v>
      </c>
      <c r="D29" s="26" t="s">
        <v>806</v>
      </c>
    </row>
    <row r="30" ht="15.75" customHeight="1">
      <c r="A30" s="23" t="s">
        <v>807</v>
      </c>
      <c r="B30" s="97">
        <v>500.0</v>
      </c>
      <c r="C30" s="100">
        <f t="shared" si="5"/>
        <v>6000</v>
      </c>
      <c r="D30" s="26" t="s">
        <v>808</v>
      </c>
    </row>
    <row r="31" ht="15.75" customHeight="1">
      <c r="A31" s="23" t="s">
        <v>809</v>
      </c>
      <c r="B31" s="97">
        <v>200.0</v>
      </c>
      <c r="C31" s="100">
        <f t="shared" si="5"/>
        <v>2400</v>
      </c>
      <c r="D31" s="26" t="s">
        <v>810</v>
      </c>
    </row>
    <row r="32" ht="15.75" customHeight="1">
      <c r="A32" s="23" t="s">
        <v>811</v>
      </c>
      <c r="B32" s="97">
        <v>0.0</v>
      </c>
      <c r="C32" s="100">
        <f t="shared" si="5"/>
        <v>0</v>
      </c>
      <c r="D32" s="26" t="s">
        <v>791</v>
      </c>
    </row>
    <row r="33" ht="15.75" customHeight="1">
      <c r="A33" s="23" t="s">
        <v>812</v>
      </c>
      <c r="B33" s="97">
        <v>0.0</v>
      </c>
      <c r="C33" s="100">
        <f t="shared" si="5"/>
        <v>0</v>
      </c>
      <c r="D33" s="26" t="s">
        <v>791</v>
      </c>
    </row>
    <row r="34" ht="15.75" customHeight="1">
      <c r="A34" s="23" t="s">
        <v>813</v>
      </c>
      <c r="B34" s="97">
        <v>0.0</v>
      </c>
      <c r="C34" s="100">
        <f t="shared" si="5"/>
        <v>0</v>
      </c>
      <c r="D34" s="26"/>
    </row>
    <row r="35" ht="15.75" customHeight="1">
      <c r="A35" s="106" t="s">
        <v>813</v>
      </c>
      <c r="B35" s="107">
        <v>0.0</v>
      </c>
      <c r="C35" s="108">
        <f>B35*12</f>
        <v>0</v>
      </c>
      <c r="D35" s="109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77" t="s">
        <v>814</v>
      </c>
      <c r="B36" s="105">
        <f t="shared" ref="B36:C36" si="6">SUM(B29:B34)</f>
        <v>800</v>
      </c>
      <c r="C36" s="105">
        <f t="shared" si="6"/>
        <v>9600</v>
      </c>
    </row>
    <row r="37" ht="15.75" customHeight="1"/>
    <row r="38" ht="15.75" customHeight="1">
      <c r="A38" s="5" t="s">
        <v>815</v>
      </c>
      <c r="B38" s="2"/>
      <c r="C38" s="2"/>
      <c r="D38" s="3"/>
    </row>
    <row r="39" ht="15.75" customHeight="1">
      <c r="A39" s="111" t="s">
        <v>816</v>
      </c>
      <c r="B39" s="112">
        <f t="shared" ref="B39:C39" si="7">B13+B25+B36</f>
        <v>7717.5</v>
      </c>
      <c r="C39" s="112">
        <f t="shared" si="7"/>
        <v>92610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A1:F1"/>
    <mergeCell ref="A3:F3"/>
    <mergeCell ref="A5:D5"/>
    <mergeCell ref="A15:D15"/>
    <mergeCell ref="A27:D27"/>
    <mergeCell ref="A38:D3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16.86"/>
    <col customWidth="1" min="4" max="5" width="12.0"/>
    <col customWidth="1" min="6" max="7" width="14.0"/>
    <col customWidth="1" min="8" max="9" width="12.0"/>
    <col customWidth="1" min="10" max="10" width="10.0"/>
    <col customWidth="1" min="11" max="11" width="18.0"/>
  </cols>
  <sheetData>
    <row r="1" ht="39.75" customHeight="1">
      <c r="A1" s="64" t="s">
        <v>817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3">
      <c r="A3" s="43" t="s">
        <v>818</v>
      </c>
      <c r="B3" s="2"/>
      <c r="C3" s="2"/>
      <c r="D3" s="2"/>
      <c r="E3" s="2"/>
      <c r="F3" s="2"/>
      <c r="G3" s="2"/>
      <c r="H3" s="2"/>
      <c r="I3" s="2"/>
      <c r="J3" s="2"/>
      <c r="K3" s="3"/>
    </row>
    <row r="5">
      <c r="A5" s="5" t="s">
        <v>819</v>
      </c>
      <c r="B5" s="2"/>
      <c r="C5" s="2"/>
      <c r="D5" s="2"/>
      <c r="E5" s="3"/>
    </row>
    <row r="6">
      <c r="A6" s="113" t="s">
        <v>52</v>
      </c>
      <c r="B6" s="113" t="s">
        <v>820</v>
      </c>
      <c r="C6" s="113" t="s">
        <v>54</v>
      </c>
    </row>
    <row r="7">
      <c r="A7" s="23" t="s">
        <v>821</v>
      </c>
      <c r="B7" s="97">
        <v>0.55</v>
      </c>
      <c r="C7" s="26" t="s">
        <v>822</v>
      </c>
    </row>
    <row r="8">
      <c r="A8" s="23" t="s">
        <v>823</v>
      </c>
      <c r="B8" s="97">
        <v>0.01</v>
      </c>
      <c r="C8" s="26" t="s">
        <v>824</v>
      </c>
    </row>
    <row r="9">
      <c r="A9" s="23" t="s">
        <v>825</v>
      </c>
      <c r="B9" s="97">
        <v>0.05</v>
      </c>
      <c r="C9" s="26" t="s">
        <v>826</v>
      </c>
    </row>
    <row r="10">
      <c r="A10" s="23" t="s">
        <v>827</v>
      </c>
      <c r="B10" s="114">
        <v>0.005</v>
      </c>
      <c r="C10" s="26" t="s">
        <v>828</v>
      </c>
    </row>
    <row r="11">
      <c r="A11" s="23" t="s">
        <v>829</v>
      </c>
      <c r="B11" s="114">
        <v>0.6</v>
      </c>
      <c r="C11" s="26" t="s">
        <v>830</v>
      </c>
    </row>
    <row r="12">
      <c r="A12" s="23" t="s">
        <v>74</v>
      </c>
      <c r="B12" s="71">
        <v>12.0</v>
      </c>
      <c r="C12" s="26" t="s">
        <v>831</v>
      </c>
    </row>
    <row r="13">
      <c r="A13" s="23" t="s">
        <v>832</v>
      </c>
      <c r="B13" s="97">
        <v>15000.0</v>
      </c>
      <c r="C13" s="26" t="s">
        <v>833</v>
      </c>
    </row>
    <row r="15">
      <c r="A15" s="115" t="s">
        <v>834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>
      <c r="A16" s="116" t="s">
        <v>835</v>
      </c>
      <c r="B16" s="2"/>
      <c r="C16" s="2"/>
      <c r="D16" s="2"/>
      <c r="E16" s="2"/>
      <c r="F16" s="2"/>
      <c r="G16" s="2"/>
      <c r="H16" s="2"/>
      <c r="I16" s="2"/>
      <c r="J16" s="2"/>
      <c r="K16" s="3"/>
    </row>
    <row r="18">
      <c r="A18" s="117" t="s">
        <v>836</v>
      </c>
      <c r="B18" s="2"/>
      <c r="C18" s="2"/>
      <c r="D18" s="2"/>
      <c r="E18" s="2"/>
      <c r="F18" s="2"/>
      <c r="G18" s="3"/>
    </row>
    <row r="19">
      <c r="A19" s="68" t="s">
        <v>837</v>
      </c>
      <c r="B19" s="68" t="s">
        <v>838</v>
      </c>
      <c r="C19" s="68" t="s">
        <v>839</v>
      </c>
      <c r="D19" s="68" t="s">
        <v>840</v>
      </c>
      <c r="E19" s="68" t="s">
        <v>841</v>
      </c>
      <c r="F19" s="68" t="s">
        <v>842</v>
      </c>
      <c r="G19" s="68" t="s">
        <v>843</v>
      </c>
    </row>
    <row r="20">
      <c r="A20" s="23" t="s">
        <v>844</v>
      </c>
      <c r="B20" s="72">
        <v>150.0</v>
      </c>
      <c r="C20" s="100">
        <f>B20*B7</f>
        <v>82.5</v>
      </c>
      <c r="D20" s="80">
        <f t="shared" ref="D20:E20" si="1">B20*12</f>
        <v>1800</v>
      </c>
      <c r="E20" s="100">
        <f t="shared" si="1"/>
        <v>990</v>
      </c>
      <c r="F20" s="80">
        <f t="shared" ref="F20:F24" si="3">B20*78</f>
        <v>11700</v>
      </c>
      <c r="G20" s="100">
        <f>F20*B7</f>
        <v>6435</v>
      </c>
    </row>
    <row r="21" ht="15.75" customHeight="1">
      <c r="A21" s="23" t="s">
        <v>845</v>
      </c>
      <c r="B21" s="72">
        <v>0.0</v>
      </c>
      <c r="C21" s="100">
        <f>B21*B7</f>
        <v>0</v>
      </c>
      <c r="D21" s="80">
        <f t="shared" ref="D21:E21" si="2">B21*12</f>
        <v>0</v>
      </c>
      <c r="E21" s="100">
        <f t="shared" si="2"/>
        <v>0</v>
      </c>
      <c r="F21" s="80">
        <f t="shared" si="3"/>
        <v>0</v>
      </c>
      <c r="G21" s="100">
        <f>F21*B7</f>
        <v>0</v>
      </c>
    </row>
    <row r="22" ht="15.75" customHeight="1">
      <c r="A22" s="23" t="s">
        <v>846</v>
      </c>
      <c r="B22" s="72">
        <v>0.0</v>
      </c>
      <c r="C22" s="100">
        <f>B22*B7</f>
        <v>0</v>
      </c>
      <c r="D22" s="80">
        <f t="shared" ref="D22:E22" si="4">B22*12</f>
        <v>0</v>
      </c>
      <c r="E22" s="100">
        <f t="shared" si="4"/>
        <v>0</v>
      </c>
      <c r="F22" s="80">
        <f t="shared" si="3"/>
        <v>0</v>
      </c>
      <c r="G22" s="100">
        <f>F22*B7</f>
        <v>0</v>
      </c>
    </row>
    <row r="23" ht="15.75" customHeight="1">
      <c r="A23" s="23" t="s">
        <v>847</v>
      </c>
      <c r="B23" s="72">
        <v>0.0</v>
      </c>
      <c r="C23" s="100">
        <f>B23*B7</f>
        <v>0</v>
      </c>
      <c r="D23" s="80">
        <f t="shared" ref="D23:E23" si="5">B23*12</f>
        <v>0</v>
      </c>
      <c r="E23" s="100">
        <f t="shared" si="5"/>
        <v>0</v>
      </c>
      <c r="F23" s="80">
        <f t="shared" si="3"/>
        <v>0</v>
      </c>
      <c r="G23" s="100">
        <f>F23*B7</f>
        <v>0</v>
      </c>
    </row>
    <row r="24" ht="15.75" customHeight="1">
      <c r="A24" s="23" t="s">
        <v>848</v>
      </c>
      <c r="B24" s="72">
        <v>0.0</v>
      </c>
      <c r="C24" s="100">
        <f>B24*B7</f>
        <v>0</v>
      </c>
      <c r="D24" s="80">
        <f t="shared" ref="D24:E24" si="6">B24*12</f>
        <v>0</v>
      </c>
      <c r="E24" s="100">
        <f t="shared" si="6"/>
        <v>0</v>
      </c>
      <c r="F24" s="80">
        <f t="shared" si="3"/>
        <v>0</v>
      </c>
      <c r="G24" s="100">
        <f>F24*B7</f>
        <v>0</v>
      </c>
    </row>
    <row r="25" ht="15.75" customHeight="1">
      <c r="A25" s="101" t="s">
        <v>849</v>
      </c>
      <c r="B25" s="118">
        <f t="shared" ref="B25:G25" si="7">SUM(B20:B24)</f>
        <v>150</v>
      </c>
      <c r="C25" s="103">
        <f t="shared" si="7"/>
        <v>82.5</v>
      </c>
      <c r="D25" s="118">
        <f t="shared" si="7"/>
        <v>1800</v>
      </c>
      <c r="E25" s="103">
        <f t="shared" si="7"/>
        <v>990</v>
      </c>
      <c r="F25" s="118">
        <f t="shared" si="7"/>
        <v>11700</v>
      </c>
      <c r="G25" s="103">
        <f t="shared" si="7"/>
        <v>6435</v>
      </c>
    </row>
    <row r="26" ht="15.75" customHeight="1"/>
    <row r="27" ht="15.75" customHeight="1">
      <c r="A27" s="117" t="s">
        <v>850</v>
      </c>
      <c r="B27" s="2"/>
      <c r="C27" s="2"/>
      <c r="D27" s="2"/>
      <c r="E27" s="2"/>
      <c r="F27" s="2"/>
      <c r="G27" s="2"/>
      <c r="H27" s="2"/>
      <c r="I27" s="2"/>
      <c r="J27" s="2"/>
      <c r="K27" s="3"/>
    </row>
    <row r="28" ht="15.75" customHeight="1">
      <c r="A28" s="68" t="s">
        <v>193</v>
      </c>
      <c r="B28" s="68" t="s">
        <v>851</v>
      </c>
      <c r="C28" s="68" t="s">
        <v>852</v>
      </c>
      <c r="D28" s="68" t="s">
        <v>853</v>
      </c>
      <c r="E28" s="68" t="s">
        <v>854</v>
      </c>
      <c r="F28" s="68" t="s">
        <v>198</v>
      </c>
      <c r="G28" s="68" t="s">
        <v>199</v>
      </c>
      <c r="H28" s="68" t="s">
        <v>200</v>
      </c>
      <c r="I28" s="68" t="s">
        <v>771</v>
      </c>
      <c r="J28" s="68" t="s">
        <v>162</v>
      </c>
      <c r="K28" s="68" t="s">
        <v>166</v>
      </c>
    </row>
    <row r="29" ht="15.75" customHeight="1">
      <c r="A29" s="71" t="s">
        <v>689</v>
      </c>
      <c r="B29" s="71" t="s">
        <v>844</v>
      </c>
      <c r="C29" s="71">
        <v>50.0</v>
      </c>
      <c r="D29" s="100">
        <f>C29*B7</f>
        <v>27.5</v>
      </c>
      <c r="E29" s="71">
        <v>3.0</v>
      </c>
      <c r="F29" s="71">
        <v>2.0</v>
      </c>
      <c r="G29" s="71">
        <v>1.0</v>
      </c>
      <c r="H29" s="71">
        <v>0.0</v>
      </c>
      <c r="I29" s="97">
        <v>0.0</v>
      </c>
    </row>
    <row r="30" ht="15.75" customHeight="1">
      <c r="A30" s="71" t="s">
        <v>696</v>
      </c>
      <c r="B30" s="71" t="s">
        <v>845</v>
      </c>
      <c r="C30" s="71">
        <v>45.0</v>
      </c>
      <c r="D30" s="100">
        <f>C30*B7</f>
        <v>24.75</v>
      </c>
      <c r="E30" s="71">
        <v>2.0</v>
      </c>
      <c r="F30" s="71">
        <v>1.0</v>
      </c>
      <c r="G30" s="71">
        <v>0.0</v>
      </c>
      <c r="H30" s="71">
        <v>0.0</v>
      </c>
      <c r="I30" s="97">
        <v>0.0</v>
      </c>
    </row>
    <row r="31" ht="15.75" customHeight="1">
      <c r="A31" s="71" t="s">
        <v>855</v>
      </c>
      <c r="B31" s="71" t="s">
        <v>844</v>
      </c>
      <c r="C31" s="71">
        <v>52.0</v>
      </c>
      <c r="D31" s="100">
        <f>C31*B7</f>
        <v>28.6</v>
      </c>
      <c r="E31" s="71">
        <v>4.0</v>
      </c>
      <c r="F31" s="71">
        <v>3.0</v>
      </c>
      <c r="G31" s="71">
        <v>2.0</v>
      </c>
      <c r="H31" s="71">
        <v>1.0</v>
      </c>
      <c r="I31" s="97">
        <v>15000.0</v>
      </c>
    </row>
    <row r="32" ht="15.75" customHeight="1">
      <c r="A32" s="71" t="s">
        <v>856</v>
      </c>
      <c r="B32" s="71" t="s">
        <v>844</v>
      </c>
      <c r="C32" s="71">
        <v>55.0</v>
      </c>
      <c r="D32" s="100">
        <v>30.25</v>
      </c>
      <c r="E32" s="71">
        <v>3.0</v>
      </c>
      <c r="F32" s="71">
        <v>2.0</v>
      </c>
      <c r="G32" s="71">
        <v>1.0</v>
      </c>
      <c r="H32" s="71">
        <v>0.0</v>
      </c>
      <c r="I32" s="71">
        <v>0.0</v>
      </c>
      <c r="J32" s="119">
        <f t="shared" ref="J32:J41" si="8">IFERROR(I32/D32,0)</f>
        <v>0</v>
      </c>
      <c r="K32" s="71"/>
    </row>
    <row r="33" ht="15.75" customHeight="1">
      <c r="A33" s="71" t="s">
        <v>857</v>
      </c>
      <c r="B33" s="71" t="s">
        <v>844</v>
      </c>
      <c r="C33" s="71">
        <v>48.0</v>
      </c>
      <c r="D33" s="100">
        <v>26.4</v>
      </c>
      <c r="E33" s="71">
        <v>2.0</v>
      </c>
      <c r="F33" s="71">
        <v>1.0</v>
      </c>
      <c r="G33" s="71">
        <v>1.0</v>
      </c>
      <c r="H33" s="71">
        <v>0.0</v>
      </c>
      <c r="I33" s="71">
        <v>0.0</v>
      </c>
      <c r="J33" s="119">
        <f t="shared" si="8"/>
        <v>0</v>
      </c>
      <c r="K33" s="71"/>
    </row>
    <row r="34" ht="15.75" customHeight="1">
      <c r="A34" s="71" t="s">
        <v>698</v>
      </c>
      <c r="B34" s="71" t="s">
        <v>847</v>
      </c>
      <c r="C34" s="71">
        <v>62.0</v>
      </c>
      <c r="D34" s="100">
        <v>34.1</v>
      </c>
      <c r="E34" s="71">
        <v>4.0</v>
      </c>
      <c r="F34" s="71">
        <v>3.0</v>
      </c>
      <c r="G34" s="71">
        <v>2.0</v>
      </c>
      <c r="H34" s="71">
        <v>1.0</v>
      </c>
      <c r="I34" s="71">
        <v>12000.0</v>
      </c>
      <c r="J34" s="119">
        <f t="shared" si="8"/>
        <v>351.9061584</v>
      </c>
      <c r="K34" s="71"/>
    </row>
    <row r="35" ht="15.75" customHeight="1">
      <c r="A35" s="71" t="s">
        <v>858</v>
      </c>
      <c r="B35" s="71" t="s">
        <v>844</v>
      </c>
      <c r="C35" s="71">
        <v>50.0</v>
      </c>
      <c r="D35" s="100">
        <v>27.5</v>
      </c>
      <c r="E35" s="71">
        <v>3.0</v>
      </c>
      <c r="F35" s="71">
        <v>2.0</v>
      </c>
      <c r="G35" s="71">
        <v>1.0</v>
      </c>
      <c r="H35" s="71">
        <v>0.0</v>
      </c>
      <c r="I35" s="71">
        <v>0.0</v>
      </c>
      <c r="J35" s="119">
        <f t="shared" si="8"/>
        <v>0</v>
      </c>
      <c r="K35" s="71"/>
    </row>
    <row r="36" ht="15.75" customHeight="1">
      <c r="A36" s="71" t="s">
        <v>859</v>
      </c>
      <c r="B36" s="71" t="s">
        <v>845</v>
      </c>
      <c r="C36" s="71">
        <v>40.0</v>
      </c>
      <c r="D36" s="100">
        <v>22.0</v>
      </c>
      <c r="E36" s="71">
        <v>2.0</v>
      </c>
      <c r="F36" s="71">
        <v>1.0</v>
      </c>
      <c r="G36" s="71">
        <v>0.0</v>
      </c>
      <c r="H36" s="71">
        <v>0.0</v>
      </c>
      <c r="I36" s="71">
        <v>0.0</v>
      </c>
      <c r="J36" s="119">
        <f t="shared" si="8"/>
        <v>0</v>
      </c>
      <c r="K36" s="71"/>
    </row>
    <row r="37" ht="15.75" customHeight="1">
      <c r="A37" s="71"/>
      <c r="B37" s="71"/>
      <c r="C37" s="71"/>
      <c r="D37" s="100" t="str">
        <f>IF(C37="","",C37*B7)</f>
        <v/>
      </c>
      <c r="E37" s="71"/>
      <c r="F37" s="71"/>
      <c r="G37" s="71"/>
      <c r="H37" s="71"/>
      <c r="I37" s="71"/>
      <c r="J37" s="119">
        <f t="shared" si="8"/>
        <v>0</v>
      </c>
      <c r="K37" s="71"/>
    </row>
    <row r="38" ht="15.75" customHeight="1">
      <c r="A38" s="71"/>
      <c r="B38" s="71"/>
      <c r="C38" s="71"/>
      <c r="D38" s="100" t="str">
        <f>IF(C38="","",C38*B7)</f>
        <v/>
      </c>
      <c r="E38" s="71"/>
      <c r="F38" s="71"/>
      <c r="G38" s="71"/>
      <c r="H38" s="71"/>
      <c r="I38" s="71"/>
      <c r="J38" s="119">
        <f t="shared" si="8"/>
        <v>0</v>
      </c>
      <c r="K38" s="71"/>
    </row>
    <row r="39" ht="15.75" customHeight="1">
      <c r="A39" s="71"/>
      <c r="B39" s="71"/>
      <c r="C39" s="71"/>
      <c r="D39" s="100" t="str">
        <f>IF(C39="","",C39*B7)</f>
        <v/>
      </c>
      <c r="E39" s="71"/>
      <c r="F39" s="71"/>
      <c r="G39" s="71"/>
      <c r="H39" s="71"/>
      <c r="I39" s="71"/>
      <c r="J39" s="119">
        <f t="shared" si="8"/>
        <v>0</v>
      </c>
      <c r="K39" s="71"/>
    </row>
    <row r="40" ht="15.75" customHeight="1">
      <c r="A40" s="71"/>
      <c r="B40" s="71"/>
      <c r="C40" s="71"/>
      <c r="D40" s="100" t="str">
        <f>IF(C40="","",C40*B7)</f>
        <v/>
      </c>
      <c r="E40" s="71"/>
      <c r="F40" s="71"/>
      <c r="G40" s="71"/>
      <c r="H40" s="71"/>
      <c r="I40" s="71"/>
      <c r="J40" s="119">
        <f t="shared" si="8"/>
        <v>0</v>
      </c>
      <c r="K40" s="71"/>
    </row>
    <row r="41" ht="15.75" customHeight="1">
      <c r="A41" s="71"/>
      <c r="B41" s="71"/>
      <c r="C41" s="71"/>
      <c r="D41" s="100" t="str">
        <f>IF(C41="","",C41*B7)</f>
        <v/>
      </c>
      <c r="E41" s="71"/>
      <c r="F41" s="71"/>
      <c r="G41" s="71"/>
      <c r="H41" s="71"/>
      <c r="I41" s="71"/>
      <c r="J41" s="119">
        <f t="shared" si="8"/>
        <v>0</v>
      </c>
      <c r="K41" s="71"/>
    </row>
    <row r="42" ht="15.75" customHeight="1"/>
    <row r="43" ht="15.75" customHeight="1">
      <c r="A43" s="120" t="s">
        <v>860</v>
      </c>
      <c r="B43" s="2"/>
      <c r="C43" s="2"/>
      <c r="D43" s="2"/>
      <c r="E43" s="2"/>
      <c r="F43" s="2"/>
      <c r="G43" s="2"/>
      <c r="H43" s="2"/>
      <c r="I43" s="2"/>
      <c r="J43" s="2"/>
      <c r="K43" s="3"/>
    </row>
    <row r="44" ht="15.75" customHeight="1">
      <c r="A44" s="116" t="s">
        <v>861</v>
      </c>
      <c r="B44" s="2"/>
      <c r="C44" s="2"/>
      <c r="D44" s="2"/>
      <c r="E44" s="2"/>
      <c r="F44" s="2"/>
      <c r="G44" s="2"/>
      <c r="H44" s="2"/>
      <c r="I44" s="2"/>
      <c r="J44" s="2"/>
      <c r="K44" s="3"/>
    </row>
    <row r="45" ht="15.75" customHeight="1"/>
    <row r="46" ht="15.75" customHeight="1">
      <c r="A46" s="121" t="s">
        <v>862</v>
      </c>
      <c r="B46" s="2"/>
      <c r="C46" s="2"/>
      <c r="D46" s="2"/>
      <c r="E46" s="2"/>
      <c r="F46" s="2"/>
      <c r="G46" s="2"/>
      <c r="H46" s="3"/>
    </row>
    <row r="47" ht="15.75" customHeight="1">
      <c r="A47" s="68" t="s">
        <v>863</v>
      </c>
      <c r="B47" s="68" t="s">
        <v>864</v>
      </c>
      <c r="C47" s="68" t="s">
        <v>865</v>
      </c>
      <c r="D47" s="68" t="s">
        <v>866</v>
      </c>
      <c r="E47" s="68" t="s">
        <v>867</v>
      </c>
      <c r="F47" s="68" t="s">
        <v>868</v>
      </c>
      <c r="G47" s="68" t="s">
        <v>869</v>
      </c>
      <c r="H47" s="68" t="s">
        <v>870</v>
      </c>
    </row>
    <row r="48" ht="15.75" customHeight="1">
      <c r="A48" s="23" t="s">
        <v>871</v>
      </c>
      <c r="B48" s="72">
        <v>117.0</v>
      </c>
      <c r="C48" s="100">
        <f>B48*B8</f>
        <v>1.17</v>
      </c>
      <c r="D48" s="100">
        <f>B48*0.3*B9*3</f>
        <v>5.265</v>
      </c>
      <c r="E48" s="100">
        <f>B48*0.2*B7</f>
        <v>12.87</v>
      </c>
      <c r="F48" s="100">
        <f t="shared" ref="F48:F52" si="9">C48+D48+E48</f>
        <v>19.305</v>
      </c>
      <c r="G48" s="81">
        <f t="shared" ref="G48:G52" si="10">B48*0.005</f>
        <v>0.585</v>
      </c>
      <c r="H48" s="100">
        <f t="shared" ref="H48:H53" si="11">IFERROR(F48/G48,0)</f>
        <v>33</v>
      </c>
    </row>
    <row r="49" ht="15.75" customHeight="1">
      <c r="A49" s="23" t="s">
        <v>872</v>
      </c>
      <c r="B49" s="72">
        <v>3000.0</v>
      </c>
      <c r="C49" s="100">
        <f>B49*B8</f>
        <v>30</v>
      </c>
      <c r="D49" s="100">
        <f>B49*0.3*B9*3</f>
        <v>135</v>
      </c>
      <c r="E49" s="100">
        <f>B49*0.2*B7</f>
        <v>330</v>
      </c>
      <c r="F49" s="100">
        <f t="shared" si="9"/>
        <v>495</v>
      </c>
      <c r="G49" s="81">
        <f t="shared" si="10"/>
        <v>15</v>
      </c>
      <c r="H49" s="100">
        <f t="shared" si="11"/>
        <v>33</v>
      </c>
    </row>
    <row r="50" ht="15.75" customHeight="1">
      <c r="A50" s="23" t="s">
        <v>873</v>
      </c>
      <c r="B50" s="72">
        <v>2000.0</v>
      </c>
      <c r="C50" s="100">
        <f>B50*B8</f>
        <v>20</v>
      </c>
      <c r="D50" s="100">
        <f>B50*0.3*B9*3</f>
        <v>90</v>
      </c>
      <c r="E50" s="100">
        <f>B50*0.2*B7</f>
        <v>220</v>
      </c>
      <c r="F50" s="100">
        <f t="shared" si="9"/>
        <v>330</v>
      </c>
      <c r="G50" s="81">
        <f t="shared" si="10"/>
        <v>10</v>
      </c>
      <c r="H50" s="100">
        <f t="shared" si="11"/>
        <v>33</v>
      </c>
    </row>
    <row r="51" ht="15.75" customHeight="1">
      <c r="A51" s="23" t="s">
        <v>874</v>
      </c>
      <c r="B51" s="72">
        <v>1500.0</v>
      </c>
      <c r="C51" s="100">
        <f>B51*B8</f>
        <v>15</v>
      </c>
      <c r="D51" s="100">
        <f>B51*0.3*B9*3</f>
        <v>67.5</v>
      </c>
      <c r="E51" s="100">
        <f>B51*0.2*B7</f>
        <v>165</v>
      </c>
      <c r="F51" s="100">
        <f t="shared" si="9"/>
        <v>247.5</v>
      </c>
      <c r="G51" s="81">
        <f t="shared" si="10"/>
        <v>7.5</v>
      </c>
      <c r="H51" s="100">
        <f t="shared" si="11"/>
        <v>33</v>
      </c>
    </row>
    <row r="52" ht="15.75" customHeight="1">
      <c r="A52" s="23" t="s">
        <v>875</v>
      </c>
      <c r="B52" s="72">
        <v>0.0</v>
      </c>
      <c r="C52" s="100">
        <f>B52*B8</f>
        <v>0</v>
      </c>
      <c r="D52" s="100">
        <f>B52*0.3*B9*3</f>
        <v>0</v>
      </c>
      <c r="E52" s="100">
        <f>B52*0.2*B7</f>
        <v>0</v>
      </c>
      <c r="F52" s="100">
        <f t="shared" si="9"/>
        <v>0</v>
      </c>
      <c r="G52" s="81">
        <f t="shared" si="10"/>
        <v>0</v>
      </c>
      <c r="H52" s="100">
        <f t="shared" si="11"/>
        <v>0</v>
      </c>
    </row>
    <row r="53" ht="15.75" customHeight="1">
      <c r="A53" s="101" t="s">
        <v>876</v>
      </c>
      <c r="B53" s="118">
        <f t="shared" ref="B53:G53" si="12">SUM(B48:B52)</f>
        <v>6617</v>
      </c>
      <c r="C53" s="103">
        <f t="shared" si="12"/>
        <v>66.17</v>
      </c>
      <c r="D53" s="103">
        <f t="shared" si="12"/>
        <v>297.765</v>
      </c>
      <c r="E53" s="103">
        <f t="shared" si="12"/>
        <v>727.87</v>
      </c>
      <c r="F53" s="103">
        <f t="shared" si="12"/>
        <v>1091.805</v>
      </c>
      <c r="G53" s="118">
        <f t="shared" si="12"/>
        <v>33.085</v>
      </c>
      <c r="H53" s="103">
        <f t="shared" si="11"/>
        <v>33</v>
      </c>
    </row>
    <row r="54" ht="15.75" customHeight="1"/>
    <row r="55" ht="15.75" customHeight="1">
      <c r="A55" s="121" t="s">
        <v>877</v>
      </c>
      <c r="B55" s="2"/>
      <c r="C55" s="2"/>
      <c r="D55" s="2"/>
      <c r="E55" s="2"/>
      <c r="F55" s="2"/>
      <c r="G55" s="2"/>
      <c r="H55" s="2"/>
      <c r="I55" s="2"/>
      <c r="J55" s="2"/>
      <c r="K55" s="3"/>
    </row>
    <row r="56" ht="15.75" customHeight="1">
      <c r="A56" s="68" t="s">
        <v>193</v>
      </c>
      <c r="B56" s="68" t="s">
        <v>878</v>
      </c>
      <c r="C56" s="68" t="s">
        <v>879</v>
      </c>
      <c r="D56" s="68" t="s">
        <v>880</v>
      </c>
      <c r="E56" s="68" t="s">
        <v>853</v>
      </c>
      <c r="F56" s="68" t="s">
        <v>854</v>
      </c>
      <c r="G56" s="68" t="s">
        <v>198</v>
      </c>
      <c r="H56" s="68" t="s">
        <v>200</v>
      </c>
      <c r="I56" s="68" t="s">
        <v>771</v>
      </c>
      <c r="J56" s="68" t="s">
        <v>162</v>
      </c>
      <c r="K56" s="68" t="s">
        <v>166</v>
      </c>
    </row>
    <row r="57" ht="15.75" customHeight="1">
      <c r="A57" s="71" t="s">
        <v>881</v>
      </c>
      <c r="B57" s="71" t="s">
        <v>882</v>
      </c>
      <c r="C57" s="71" t="s">
        <v>883</v>
      </c>
      <c r="D57" s="71">
        <v>5000.0</v>
      </c>
      <c r="E57" s="97">
        <v>50.0</v>
      </c>
      <c r="F57" s="71">
        <v>45.0</v>
      </c>
      <c r="G57" s="71">
        <v>8.0</v>
      </c>
      <c r="H57" s="71">
        <v>0.0</v>
      </c>
      <c r="I57" s="97">
        <v>0.0</v>
      </c>
    </row>
    <row r="58" ht="15.75" customHeight="1">
      <c r="A58" s="71" t="s">
        <v>689</v>
      </c>
      <c r="B58" s="71" t="s">
        <v>882</v>
      </c>
      <c r="C58" s="71" t="s">
        <v>884</v>
      </c>
      <c r="D58" s="71">
        <v>1500.0</v>
      </c>
      <c r="E58" s="97">
        <v>225.0</v>
      </c>
      <c r="F58" s="71">
        <v>30.0</v>
      </c>
      <c r="G58" s="71">
        <v>5.0</v>
      </c>
      <c r="H58" s="71">
        <v>0.0</v>
      </c>
      <c r="I58" s="97">
        <v>0.0</v>
      </c>
    </row>
    <row r="59" ht="15.75" customHeight="1">
      <c r="A59" s="71" t="s">
        <v>885</v>
      </c>
      <c r="B59" s="71" t="s">
        <v>882</v>
      </c>
      <c r="C59" s="71" t="s">
        <v>886</v>
      </c>
      <c r="D59" s="71">
        <v>1000.0</v>
      </c>
      <c r="E59" s="97">
        <v>550.0</v>
      </c>
      <c r="F59" s="71">
        <v>8.0</v>
      </c>
      <c r="G59" s="71">
        <v>3.0</v>
      </c>
      <c r="H59" s="71">
        <v>1.0</v>
      </c>
      <c r="I59" s="97">
        <v>18000.0</v>
      </c>
    </row>
    <row r="60" ht="15.75" customHeight="1">
      <c r="A60" s="71" t="s">
        <v>855</v>
      </c>
      <c r="B60" s="71" t="s">
        <v>887</v>
      </c>
      <c r="C60" s="71" t="s">
        <v>883</v>
      </c>
      <c r="D60" s="71">
        <v>3000.0</v>
      </c>
      <c r="E60" s="71">
        <v>30.0</v>
      </c>
      <c r="F60" s="71">
        <v>28.0</v>
      </c>
      <c r="G60" s="71">
        <v>5.0</v>
      </c>
      <c r="H60" s="71">
        <v>0.0</v>
      </c>
      <c r="I60" s="71">
        <v>0.0</v>
      </c>
      <c r="J60" s="119">
        <f t="shared" ref="J60:J69" si="13">IFERROR(I60/E60,0)</f>
        <v>0</v>
      </c>
      <c r="K60" s="71"/>
    </row>
    <row r="61" ht="15.75" customHeight="1">
      <c r="A61" s="71" t="s">
        <v>701</v>
      </c>
      <c r="B61" s="71" t="s">
        <v>887</v>
      </c>
      <c r="C61" s="71" t="s">
        <v>884</v>
      </c>
      <c r="D61" s="71">
        <v>800.0</v>
      </c>
      <c r="E61" s="71">
        <v>120.0</v>
      </c>
      <c r="F61" s="71">
        <v>15.0</v>
      </c>
      <c r="G61" s="71">
        <v>3.0</v>
      </c>
      <c r="H61" s="71">
        <v>0.0</v>
      </c>
      <c r="I61" s="71">
        <v>0.0</v>
      </c>
      <c r="J61" s="119">
        <f t="shared" si="13"/>
        <v>0</v>
      </c>
      <c r="K61" s="71"/>
    </row>
    <row r="62" ht="15.75" customHeight="1">
      <c r="A62" s="71" t="s">
        <v>856</v>
      </c>
      <c r="B62" s="71" t="s">
        <v>873</v>
      </c>
      <c r="C62" s="71" t="s">
        <v>883</v>
      </c>
      <c r="D62" s="71">
        <v>2000.0</v>
      </c>
      <c r="E62" s="71">
        <v>20.0</v>
      </c>
      <c r="F62" s="71">
        <v>18.0</v>
      </c>
      <c r="G62" s="71">
        <v>4.0</v>
      </c>
      <c r="H62" s="71">
        <v>0.0</v>
      </c>
      <c r="I62" s="71">
        <v>0.0</v>
      </c>
      <c r="J62" s="119">
        <f t="shared" si="13"/>
        <v>0</v>
      </c>
      <c r="K62" s="71"/>
    </row>
    <row r="63" ht="15.75" customHeight="1">
      <c r="A63" s="71" t="s">
        <v>857</v>
      </c>
      <c r="B63" s="71" t="s">
        <v>887</v>
      </c>
      <c r="C63" s="71" t="s">
        <v>886</v>
      </c>
      <c r="D63" s="71">
        <v>800.0</v>
      </c>
      <c r="E63" s="71">
        <v>440.0</v>
      </c>
      <c r="F63" s="71">
        <v>6.0</v>
      </c>
      <c r="G63" s="71">
        <v>2.0</v>
      </c>
      <c r="H63" s="71">
        <v>1.0</v>
      </c>
      <c r="I63" s="71">
        <v>15000.0</v>
      </c>
      <c r="J63" s="119">
        <f t="shared" si="13"/>
        <v>34.09090909</v>
      </c>
      <c r="K63" s="71"/>
    </row>
    <row r="64" ht="15.75" customHeight="1">
      <c r="A64" s="71" t="s">
        <v>888</v>
      </c>
      <c r="B64" s="71" t="s">
        <v>873</v>
      </c>
      <c r="C64" s="71" t="s">
        <v>884</v>
      </c>
      <c r="D64" s="71">
        <v>600.0</v>
      </c>
      <c r="E64" s="71">
        <v>90.0</v>
      </c>
      <c r="F64" s="71">
        <v>12.0</v>
      </c>
      <c r="G64" s="71">
        <v>2.0</v>
      </c>
      <c r="H64" s="71">
        <v>0.0</v>
      </c>
      <c r="I64" s="71">
        <v>0.0</v>
      </c>
      <c r="J64" s="119">
        <f t="shared" si="13"/>
        <v>0</v>
      </c>
      <c r="K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119">
        <f t="shared" si="13"/>
        <v>0</v>
      </c>
      <c r="K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119">
        <f t="shared" si="13"/>
        <v>0</v>
      </c>
      <c r="K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119">
        <f t="shared" si="13"/>
        <v>0</v>
      </c>
      <c r="K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119">
        <f t="shared" si="13"/>
        <v>0</v>
      </c>
      <c r="K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119">
        <f t="shared" si="13"/>
        <v>0</v>
      </c>
      <c r="K69" s="71"/>
    </row>
    <row r="70" ht="15.75" customHeight="1"/>
    <row r="71" ht="15.75" customHeight="1">
      <c r="A71" s="5" t="s">
        <v>889</v>
      </c>
      <c r="B71" s="2"/>
      <c r="C71" s="2"/>
      <c r="D71" s="2"/>
      <c r="E71" s="2"/>
      <c r="F71" s="3"/>
    </row>
    <row r="72" ht="15.75" customHeight="1">
      <c r="A72" s="68" t="s">
        <v>83</v>
      </c>
      <c r="B72" s="68" t="s">
        <v>688</v>
      </c>
      <c r="C72" s="68" t="s">
        <v>890</v>
      </c>
      <c r="D72" s="68" t="s">
        <v>891</v>
      </c>
    </row>
    <row r="73" ht="15.75" customHeight="1">
      <c r="A73" s="23" t="s">
        <v>892</v>
      </c>
      <c r="B73" s="122">
        <f>SUM(C29:C41)</f>
        <v>402</v>
      </c>
      <c r="C73" s="123">
        <f>SUMIF(C57:C69,"Mail",D57:D69)</f>
        <v>1800</v>
      </c>
      <c r="D73" s="80">
        <f t="shared" ref="D73:D80" si="14">B73+C73</f>
        <v>2202</v>
      </c>
    </row>
    <row r="74" ht="15.75" customHeight="1">
      <c r="A74" s="23" t="s">
        <v>893</v>
      </c>
      <c r="B74" s="122" t="s">
        <v>894</v>
      </c>
      <c r="C74" s="123">
        <f>SUMIF(C57:C69,"SMS",D57:D69)</f>
        <v>10000</v>
      </c>
      <c r="D74" s="80">
        <f t="shared" si="14"/>
        <v>10000</v>
      </c>
    </row>
    <row r="75" ht="15.75" customHeight="1">
      <c r="A75" s="23" t="s">
        <v>895</v>
      </c>
      <c r="B75" s="122" t="s">
        <v>894</v>
      </c>
      <c r="C75" s="123">
        <f>SUMIF(C57:C69,"Cold Call",D57:D69)</f>
        <v>2900</v>
      </c>
      <c r="D75" s="80">
        <f t="shared" si="14"/>
        <v>2900</v>
      </c>
    </row>
    <row r="76" ht="15.75" customHeight="1">
      <c r="A76" s="23" t="s">
        <v>896</v>
      </c>
      <c r="B76" s="124">
        <f>SUM(D29:D41)</f>
        <v>221.1</v>
      </c>
      <c r="C76" s="125">
        <f>SUM(E57:E69)</f>
        <v>1525</v>
      </c>
      <c r="D76" s="100">
        <f t="shared" si="14"/>
        <v>1746.1</v>
      </c>
    </row>
    <row r="77" ht="15.75" customHeight="1">
      <c r="A77" s="23" t="s">
        <v>897</v>
      </c>
      <c r="B77" s="122">
        <f>SUM(E29:E41)</f>
        <v>23</v>
      </c>
      <c r="C77" s="123">
        <f>SUM(F57:F69)</f>
        <v>162</v>
      </c>
      <c r="D77" s="80">
        <f t="shared" si="14"/>
        <v>185</v>
      </c>
    </row>
    <row r="78" ht="15.75" customHeight="1">
      <c r="A78" s="23" t="s">
        <v>898</v>
      </c>
      <c r="B78" s="122">
        <f>SUM(F29:F41)</f>
        <v>15</v>
      </c>
      <c r="C78" s="123">
        <f>SUM(G57:G69)</f>
        <v>32</v>
      </c>
      <c r="D78" s="80">
        <f t="shared" si="14"/>
        <v>47</v>
      </c>
    </row>
    <row r="79" ht="15.75" customHeight="1">
      <c r="A79" s="23" t="s">
        <v>899</v>
      </c>
      <c r="B79" s="122">
        <f>SUM(H29:H41)</f>
        <v>2</v>
      </c>
      <c r="C79" s="123">
        <f>SUM(H57:H69)</f>
        <v>2</v>
      </c>
      <c r="D79" s="80">
        <f t="shared" si="14"/>
        <v>4</v>
      </c>
    </row>
    <row r="80" ht="15.75" customHeight="1">
      <c r="A80" s="23" t="s">
        <v>900</v>
      </c>
      <c r="B80" s="124">
        <f>SUM(I29:I41)</f>
        <v>27000</v>
      </c>
      <c r="C80" s="125">
        <f>SUM(I57:I69)</f>
        <v>33000</v>
      </c>
      <c r="D80" s="100">
        <f t="shared" si="14"/>
        <v>60000</v>
      </c>
    </row>
    <row r="81" ht="15.75" customHeight="1">
      <c r="A81" s="101" t="s">
        <v>174</v>
      </c>
      <c r="B81" s="126">
        <f t="shared" ref="B81:D81" si="15">IFERROR(B80/B76,0)</f>
        <v>122.1166893</v>
      </c>
      <c r="C81" s="127">
        <f t="shared" si="15"/>
        <v>21.63934426</v>
      </c>
      <c r="D81" s="128">
        <f t="shared" si="15"/>
        <v>34.36229311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3:K43"/>
    <mergeCell ref="A44:K44"/>
    <mergeCell ref="A46:H46"/>
    <mergeCell ref="A55:K55"/>
    <mergeCell ref="A71:F71"/>
    <mergeCell ref="A1:K1"/>
    <mergeCell ref="A3:K3"/>
    <mergeCell ref="A5:E5"/>
    <mergeCell ref="A15:K15"/>
    <mergeCell ref="A16:K16"/>
    <mergeCell ref="A18:G18"/>
    <mergeCell ref="A27:K2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2.0"/>
    <col customWidth="1" min="7" max="7" width="4.0"/>
    <col customWidth="1" min="8" max="8" width="18.0"/>
    <col customWidth="1" min="9" max="10" width="12.0"/>
    <col customWidth="1" min="11" max="12" width="10.0"/>
  </cols>
  <sheetData>
    <row r="1" ht="39.75" customHeight="1">
      <c r="A1" s="64" t="s">
        <v>901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>
      <c r="A3" s="116" t="s">
        <v>902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5">
      <c r="A5" s="129" t="s">
        <v>903</v>
      </c>
      <c r="B5" s="2"/>
      <c r="C5" s="3"/>
      <c r="H5" s="130" t="s">
        <v>904</v>
      </c>
      <c r="I5" s="2"/>
      <c r="J5" s="2"/>
      <c r="K5" s="2"/>
      <c r="L5" s="3"/>
    </row>
    <row r="6">
      <c r="A6" s="7" t="s">
        <v>905</v>
      </c>
      <c r="B6" s="98" t="s">
        <v>906</v>
      </c>
      <c r="D6" s="7" t="s">
        <v>907</v>
      </c>
      <c r="E6" s="98" t="s">
        <v>632</v>
      </c>
      <c r="H6" s="68" t="s">
        <v>908</v>
      </c>
      <c r="I6" s="68" t="s">
        <v>764</v>
      </c>
      <c r="J6" s="68" t="s">
        <v>909</v>
      </c>
      <c r="K6" s="68" t="s">
        <v>154</v>
      </c>
      <c r="L6" s="68" t="s">
        <v>156</v>
      </c>
    </row>
    <row r="7">
      <c r="H7" s="23" t="s">
        <v>158</v>
      </c>
      <c r="I7" s="72">
        <v>4209.0</v>
      </c>
      <c r="J7" s="83" t="s">
        <v>910</v>
      </c>
      <c r="K7" s="72">
        <v>5625.0</v>
      </c>
      <c r="L7" s="82" t="str">
        <f t="shared" ref="L7:L14" si="1">IF(I7&gt;=K7,"✅",IF(I7&gt;=K7*0.8,"⚠️","❌"))</f>
        <v>❌</v>
      </c>
    </row>
    <row r="8">
      <c r="A8" s="131" t="s">
        <v>911</v>
      </c>
      <c r="B8" s="2"/>
      <c r="C8" s="2"/>
      <c r="D8" s="2"/>
      <c r="E8" s="2"/>
      <c r="F8" s="3"/>
      <c r="H8" s="23" t="s">
        <v>131</v>
      </c>
      <c r="I8" s="72">
        <v>112.0</v>
      </c>
      <c r="J8" s="83">
        <f t="shared" ref="J8:J14" si="2">IFERROR(I8/I7,0)</f>
        <v>0.026609646</v>
      </c>
      <c r="K8" s="72">
        <v>200.0</v>
      </c>
      <c r="L8" s="82" t="str">
        <f t="shared" si="1"/>
        <v>❌</v>
      </c>
    </row>
    <row r="9">
      <c r="A9" s="68" t="s">
        <v>83</v>
      </c>
      <c r="B9" s="68" t="s">
        <v>912</v>
      </c>
      <c r="C9" s="68" t="s">
        <v>913</v>
      </c>
      <c r="D9" s="68" t="s">
        <v>914</v>
      </c>
      <c r="E9" s="68" t="s">
        <v>915</v>
      </c>
      <c r="F9" s="68" t="s">
        <v>916</v>
      </c>
      <c r="H9" s="23" t="s">
        <v>898</v>
      </c>
      <c r="I9" s="72">
        <v>66.0</v>
      </c>
      <c r="J9" s="83">
        <f t="shared" si="2"/>
        <v>0.5892857143</v>
      </c>
      <c r="K9" s="72">
        <v>112.0</v>
      </c>
      <c r="L9" s="82" t="str">
        <f t="shared" si="1"/>
        <v>❌</v>
      </c>
    </row>
    <row r="10">
      <c r="A10" s="23" t="s">
        <v>917</v>
      </c>
      <c r="B10" s="71">
        <v>120.0</v>
      </c>
      <c r="C10" s="71">
        <v>135.0</v>
      </c>
      <c r="D10" s="71">
        <v>128.0</v>
      </c>
      <c r="E10" s="71">
        <v>142.0</v>
      </c>
      <c r="F10" s="99">
        <f t="shared" ref="F10:F12" si="3">SUM(B10:E10)</f>
        <v>525</v>
      </c>
      <c r="H10" s="23" t="s">
        <v>918</v>
      </c>
      <c r="I10" s="72">
        <v>33.0</v>
      </c>
      <c r="J10" s="83">
        <f t="shared" si="2"/>
        <v>0.5</v>
      </c>
      <c r="K10" s="72">
        <v>40.0</v>
      </c>
      <c r="L10" s="82" t="str">
        <f t="shared" si="1"/>
        <v>⚠️</v>
      </c>
    </row>
    <row r="11">
      <c r="A11" s="23" t="s">
        <v>919</v>
      </c>
      <c r="B11" s="71">
        <v>115.0</v>
      </c>
      <c r="C11" s="71">
        <v>130.0</v>
      </c>
      <c r="D11" s="71">
        <v>122.0</v>
      </c>
      <c r="E11" s="71">
        <v>138.0</v>
      </c>
      <c r="F11" s="99">
        <f t="shared" si="3"/>
        <v>505</v>
      </c>
      <c r="H11" s="23" t="s">
        <v>920</v>
      </c>
      <c r="I11" s="72">
        <v>18.0</v>
      </c>
      <c r="J11" s="83">
        <f t="shared" si="2"/>
        <v>0.5454545455</v>
      </c>
      <c r="K11" s="72">
        <v>20.0</v>
      </c>
      <c r="L11" s="82" t="str">
        <f t="shared" si="1"/>
        <v>⚠️</v>
      </c>
    </row>
    <row r="12">
      <c r="A12" s="23" t="s">
        <v>921</v>
      </c>
      <c r="B12" s="71">
        <v>110.0</v>
      </c>
      <c r="C12" s="71">
        <v>125.0</v>
      </c>
      <c r="D12" s="71">
        <v>118.0</v>
      </c>
      <c r="E12" s="71">
        <v>132.0</v>
      </c>
      <c r="F12" s="99">
        <f t="shared" si="3"/>
        <v>485</v>
      </c>
      <c r="H12" s="23" t="s">
        <v>138</v>
      </c>
      <c r="I12" s="72">
        <v>15.0</v>
      </c>
      <c r="J12" s="83">
        <f t="shared" si="2"/>
        <v>0.8333333333</v>
      </c>
      <c r="K12" s="72">
        <v>15.0</v>
      </c>
      <c r="L12" s="82" t="str">
        <f t="shared" si="1"/>
        <v>✅</v>
      </c>
    </row>
    <row r="13">
      <c r="A13" s="23" t="s">
        <v>922</v>
      </c>
      <c r="B13" s="114">
        <v>0.82</v>
      </c>
      <c r="C13" s="114">
        <v>0.85</v>
      </c>
      <c r="D13" s="114">
        <v>0.8</v>
      </c>
      <c r="E13" s="114">
        <v>0.84</v>
      </c>
      <c r="F13" s="83">
        <f>AVERAGE(B13:E13)</f>
        <v>0.8275</v>
      </c>
      <c r="H13" s="23" t="s">
        <v>200</v>
      </c>
      <c r="I13" s="72">
        <v>3.0</v>
      </c>
      <c r="J13" s="83">
        <f t="shared" si="2"/>
        <v>0.2</v>
      </c>
      <c r="K13" s="72">
        <v>2.0</v>
      </c>
      <c r="L13" s="82" t="str">
        <f t="shared" si="1"/>
        <v>✅</v>
      </c>
    </row>
    <row r="14">
      <c r="A14" s="23" t="s">
        <v>923</v>
      </c>
      <c r="B14" s="71">
        <v>8.0</v>
      </c>
      <c r="C14" s="71">
        <v>10.0</v>
      </c>
      <c r="D14" s="71">
        <v>9.0</v>
      </c>
      <c r="E14" s="71">
        <v>11.0</v>
      </c>
      <c r="F14" s="99">
        <f t="shared" ref="F14:F15" si="4">SUM(B14:E14)</f>
        <v>38</v>
      </c>
      <c r="H14" s="23" t="s">
        <v>142</v>
      </c>
      <c r="I14" s="72">
        <v>1.0</v>
      </c>
      <c r="J14" s="83">
        <f t="shared" si="2"/>
        <v>0.3333333333</v>
      </c>
      <c r="K14" s="72">
        <v>2.0</v>
      </c>
      <c r="L14" s="82" t="str">
        <f t="shared" si="1"/>
        <v>❌</v>
      </c>
    </row>
    <row r="15">
      <c r="A15" s="23" t="s">
        <v>924</v>
      </c>
      <c r="B15" s="71">
        <v>12.0</v>
      </c>
      <c r="C15" s="71">
        <v>15.0</v>
      </c>
      <c r="D15" s="71">
        <v>14.0</v>
      </c>
      <c r="E15" s="71">
        <v>16.0</v>
      </c>
      <c r="F15" s="99">
        <f t="shared" si="4"/>
        <v>57</v>
      </c>
    </row>
    <row r="16">
      <c r="H16" s="129" t="s">
        <v>925</v>
      </c>
      <c r="I16" s="2"/>
      <c r="J16" s="2"/>
      <c r="K16" s="2"/>
      <c r="L16" s="3"/>
    </row>
    <row r="17">
      <c r="A17" s="132" t="s">
        <v>926</v>
      </c>
      <c r="B17" s="2"/>
      <c r="C17" s="2"/>
      <c r="D17" s="2"/>
      <c r="E17" s="2"/>
      <c r="F17" s="3"/>
      <c r="H17" s="23" t="s">
        <v>160</v>
      </c>
      <c r="I17" s="133">
        <f>'Monthly Data'!B15/I9</f>
        <v>0.04545454545</v>
      </c>
      <c r="J17" s="20"/>
    </row>
    <row r="18">
      <c r="A18" s="68" t="s">
        <v>83</v>
      </c>
      <c r="B18" s="68" t="s">
        <v>912</v>
      </c>
      <c r="C18" s="68" t="s">
        <v>913</v>
      </c>
      <c r="D18" s="68" t="s">
        <v>914</v>
      </c>
      <c r="E18" s="68" t="s">
        <v>915</v>
      </c>
      <c r="F18" s="68" t="s">
        <v>916</v>
      </c>
      <c r="H18" s="23" t="s">
        <v>927</v>
      </c>
      <c r="I18" s="133">
        <f>'Monthly Data'!B15/I13</f>
        <v>1</v>
      </c>
      <c r="J18" s="20"/>
    </row>
    <row r="19">
      <c r="A19" s="23" t="s">
        <v>99</v>
      </c>
      <c r="B19" s="71">
        <v>18.0</v>
      </c>
      <c r="C19" s="71">
        <v>22.0</v>
      </c>
      <c r="D19" s="71">
        <v>20.0</v>
      </c>
      <c r="E19" s="71">
        <v>25.0</v>
      </c>
      <c r="F19" s="99">
        <f t="shared" ref="F19:F24" si="5">SUM(B19:E19)</f>
        <v>85</v>
      </c>
      <c r="H19" s="23" t="s">
        <v>74</v>
      </c>
      <c r="I19" s="134">
        <f>IFERROR(I9/I13,0)</f>
        <v>22</v>
      </c>
      <c r="J19" s="20"/>
    </row>
    <row r="20">
      <c r="A20" s="23" t="s">
        <v>928</v>
      </c>
      <c r="B20" s="71">
        <v>45.0</v>
      </c>
      <c r="C20" s="71">
        <v>58.0</v>
      </c>
      <c r="D20" s="71">
        <v>52.0</v>
      </c>
      <c r="E20" s="71">
        <v>62.0</v>
      </c>
      <c r="F20" s="99">
        <f t="shared" si="5"/>
        <v>217</v>
      </c>
      <c r="H20" s="23" t="s">
        <v>62</v>
      </c>
      <c r="I20" s="135">
        <f>IFERROR(I14/I12,0)</f>
        <v>0.06666666667</v>
      </c>
      <c r="J20" s="20"/>
    </row>
    <row r="21" ht="15.75" customHeight="1">
      <c r="A21" s="23" t="s">
        <v>929</v>
      </c>
      <c r="B21" s="71">
        <v>52.0</v>
      </c>
      <c r="C21" s="71">
        <v>65.0</v>
      </c>
      <c r="D21" s="71">
        <v>58.0</v>
      </c>
      <c r="E21" s="71">
        <v>70.0</v>
      </c>
      <c r="F21" s="99">
        <f t="shared" si="5"/>
        <v>245</v>
      </c>
      <c r="H21" s="23" t="s">
        <v>162</v>
      </c>
      <c r="I21" s="136">
        <f>IFERROR(I14*15000/'Monthly Data'!B15,0)</f>
        <v>5000</v>
      </c>
      <c r="J21" s="20"/>
    </row>
    <row r="22" ht="15.75" customHeight="1">
      <c r="A22" s="23" t="s">
        <v>930</v>
      </c>
      <c r="B22" s="71">
        <v>3.0</v>
      </c>
      <c r="C22" s="71">
        <v>2.0</v>
      </c>
      <c r="D22" s="71">
        <v>4.0</v>
      </c>
      <c r="E22" s="71">
        <v>2.0</v>
      </c>
      <c r="F22" s="99">
        <f t="shared" si="5"/>
        <v>11</v>
      </c>
    </row>
    <row r="23" ht="15.75" customHeight="1">
      <c r="A23" s="23" t="s">
        <v>931</v>
      </c>
      <c r="B23" s="71">
        <v>8.0</v>
      </c>
      <c r="C23" s="71">
        <v>10.0</v>
      </c>
      <c r="D23" s="71">
        <v>9.0</v>
      </c>
      <c r="E23" s="71">
        <v>12.0</v>
      </c>
      <c r="F23" s="99">
        <f t="shared" si="5"/>
        <v>39</v>
      </c>
    </row>
    <row r="24" ht="15.75" customHeight="1">
      <c r="A24" s="23" t="s">
        <v>932</v>
      </c>
      <c r="B24" s="71">
        <v>2.0</v>
      </c>
      <c r="C24" s="71">
        <v>3.0</v>
      </c>
      <c r="D24" s="71">
        <v>2.0</v>
      </c>
      <c r="E24" s="71">
        <v>4.0</v>
      </c>
      <c r="F24" s="99">
        <f t="shared" si="5"/>
        <v>11</v>
      </c>
      <c r="H24" s="129" t="s">
        <v>933</v>
      </c>
      <c r="I24" s="2"/>
      <c r="J24" s="2"/>
      <c r="K24" s="2"/>
      <c r="L24" s="3"/>
    </row>
    <row r="25" ht="24.75" customHeight="1">
      <c r="H25" s="137"/>
      <c r="I25" s="138"/>
      <c r="J25" s="138"/>
      <c r="K25" s="138"/>
      <c r="L25" s="139"/>
    </row>
    <row r="26" ht="24.75" customHeight="1">
      <c r="A26" s="140" t="s">
        <v>934</v>
      </c>
      <c r="B26" s="2"/>
      <c r="C26" s="2"/>
      <c r="D26" s="2"/>
      <c r="E26" s="2"/>
      <c r="F26" s="3"/>
      <c r="H26" s="137"/>
      <c r="I26" s="138"/>
      <c r="J26" s="138"/>
      <c r="K26" s="138"/>
      <c r="L26" s="139"/>
    </row>
    <row r="27" ht="24.75" customHeight="1">
      <c r="A27" s="68" t="s">
        <v>83</v>
      </c>
      <c r="B27" s="68" t="s">
        <v>912</v>
      </c>
      <c r="C27" s="68" t="s">
        <v>913</v>
      </c>
      <c r="D27" s="68" t="s">
        <v>914</v>
      </c>
      <c r="E27" s="68" t="s">
        <v>915</v>
      </c>
      <c r="F27" s="68" t="s">
        <v>916</v>
      </c>
      <c r="H27" s="137"/>
      <c r="I27" s="138"/>
      <c r="J27" s="138"/>
      <c r="K27" s="138"/>
      <c r="L27" s="139"/>
    </row>
    <row r="28" ht="24.75" customHeight="1">
      <c r="A28" s="23" t="s">
        <v>660</v>
      </c>
      <c r="B28" s="71">
        <v>5.0</v>
      </c>
      <c r="C28" s="71">
        <v>6.0</v>
      </c>
      <c r="D28" s="71">
        <v>4.0</v>
      </c>
      <c r="E28" s="71">
        <v>7.0</v>
      </c>
      <c r="F28" s="99">
        <f t="shared" ref="F28:F34" si="6">SUM(B28:E28)</f>
        <v>22</v>
      </c>
      <c r="H28" s="137"/>
      <c r="I28" s="138"/>
      <c r="J28" s="138"/>
      <c r="K28" s="138"/>
      <c r="L28" s="139"/>
    </row>
    <row r="29" ht="24.75" customHeight="1">
      <c r="A29" s="23" t="s">
        <v>935</v>
      </c>
      <c r="B29" s="71">
        <v>4.0</v>
      </c>
      <c r="C29" s="71">
        <v>5.0</v>
      </c>
      <c r="D29" s="71">
        <v>4.0</v>
      </c>
      <c r="E29" s="71">
        <v>6.0</v>
      </c>
      <c r="F29" s="99">
        <f t="shared" si="6"/>
        <v>19</v>
      </c>
      <c r="H29" s="137"/>
      <c r="I29" s="138"/>
      <c r="J29" s="138"/>
      <c r="K29" s="138"/>
      <c r="L29" s="139"/>
    </row>
    <row r="30" ht="15.75" customHeight="1">
      <c r="A30" s="23" t="s">
        <v>138</v>
      </c>
      <c r="B30" s="71">
        <v>3.0</v>
      </c>
      <c r="C30" s="71">
        <v>4.0</v>
      </c>
      <c r="D30" s="71">
        <v>3.0</v>
      </c>
      <c r="E30" s="71">
        <v>5.0</v>
      </c>
      <c r="F30" s="99">
        <f t="shared" si="6"/>
        <v>15</v>
      </c>
    </row>
    <row r="31" ht="15.75" customHeight="1">
      <c r="A31" s="23" t="s">
        <v>936</v>
      </c>
      <c r="B31" s="71">
        <v>2.0</v>
      </c>
      <c r="C31" s="71">
        <v>3.0</v>
      </c>
      <c r="D31" s="71">
        <v>2.0</v>
      </c>
      <c r="E31" s="71">
        <v>3.0</v>
      </c>
      <c r="F31" s="99">
        <f t="shared" si="6"/>
        <v>10</v>
      </c>
    </row>
    <row r="32" ht="15.75" customHeight="1">
      <c r="A32" s="23" t="s">
        <v>139</v>
      </c>
      <c r="B32" s="71">
        <v>1.0</v>
      </c>
      <c r="C32" s="71">
        <v>1.0</v>
      </c>
      <c r="D32" s="71">
        <v>0.0</v>
      </c>
      <c r="E32" s="71">
        <v>1.0</v>
      </c>
      <c r="F32" s="99">
        <f t="shared" si="6"/>
        <v>3</v>
      </c>
    </row>
    <row r="33" ht="15.75" customHeight="1">
      <c r="A33" s="23" t="s">
        <v>937</v>
      </c>
      <c r="B33" s="71">
        <v>0.0</v>
      </c>
      <c r="C33" s="71">
        <v>1.0</v>
      </c>
      <c r="D33" s="71">
        <v>0.0</v>
      </c>
      <c r="E33" s="71">
        <v>0.0</v>
      </c>
      <c r="F33" s="99">
        <f t="shared" si="6"/>
        <v>1</v>
      </c>
    </row>
    <row r="34" ht="15.75" customHeight="1">
      <c r="A34" s="23" t="s">
        <v>938</v>
      </c>
      <c r="B34" s="97">
        <v>0.0</v>
      </c>
      <c r="C34" s="97">
        <v>30000.0</v>
      </c>
      <c r="D34" s="97">
        <v>0.0</v>
      </c>
      <c r="E34" s="97">
        <v>0.0</v>
      </c>
      <c r="F34" s="100">
        <f t="shared" si="6"/>
        <v>30000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3:L3"/>
    <mergeCell ref="A5:C5"/>
    <mergeCell ref="H5:L5"/>
    <mergeCell ref="A8:F8"/>
    <mergeCell ref="H16:L16"/>
    <mergeCell ref="A17:F17"/>
    <mergeCell ref="H25:L25"/>
    <mergeCell ref="H26:L26"/>
    <mergeCell ref="H27:L27"/>
    <mergeCell ref="H28:L28"/>
    <mergeCell ref="H29:L29"/>
    <mergeCell ref="I17:J17"/>
    <mergeCell ref="I18:J18"/>
    <mergeCell ref="I19:J19"/>
    <mergeCell ref="I20:J20"/>
    <mergeCell ref="I21:J21"/>
    <mergeCell ref="H24:L24"/>
    <mergeCell ref="A26:F2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2026-03-13T12:41:01Z</dcterms:created>
  <dc:creator>openpyxl</dc:creator>
</cp:coreProperties>
</file>