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Rehab Estimate" sheetId="2" state="visible" r:id="rId2"/>
    <sheet xmlns:r="http://schemas.openxmlformats.org/officeDocument/2006/relationships" name="Wholetail Estimate" sheetId="3" state="visible" r:id="rId3"/>
    <sheet xmlns:r="http://schemas.openxmlformats.org/officeDocument/2006/relationships" name="Condition Assessment" sheetId="4" state="visible" r:id="rId4"/>
    <sheet xmlns:r="http://schemas.openxmlformats.org/officeDocument/2006/relationships" name="Deal Analyzer" sheetId="5" state="visible" r:id="rId5"/>
    <sheet xmlns:r="http://schemas.openxmlformats.org/officeDocument/2006/relationships" name="Budget Tracker" sheetId="6" state="visible" r:id="rId6"/>
    <sheet xmlns:r="http://schemas.openxmlformats.org/officeDocument/2006/relationships" name="Material Specs" sheetId="7" state="visible" r:id="rId7"/>
    <sheet xmlns:r="http://schemas.openxmlformats.org/officeDocument/2006/relationships" name="Project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2F5496"/>
      <sz val="12"/>
    </font>
    <font>
      <name val="Calibri"/>
      <i val="1"/>
      <color rgb="002F5496"/>
      <sz val="10"/>
    </font>
    <font>
      <name val="Calibri"/>
      <b val="1"/>
      <color rgb="002F5496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1F3864"/>
      <sz val="12"/>
    </font>
    <font>
      <name val="Calibri"/>
      <b val="1"/>
      <color rgb="00C00000"/>
      <sz val="12"/>
    </font>
    <font>
      <name val="Calibri"/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4" fontId="6" fillId="3" borderId="1" applyAlignment="1" pivotButton="0" quotePrefix="0" xfId="0">
      <alignment vertical="center" wrapText="1"/>
    </xf>
    <xf numFmtId="3" fontId="6" fillId="3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5" borderId="0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/>
    </xf>
    <xf numFmtId="3" fontId="6" fillId="3" borderId="1" applyAlignment="1" pivotButton="0" quotePrefix="0" xfId="0">
      <alignment horizontal="right" vertical="center"/>
    </xf>
    <xf numFmtId="3" fontId="5" fillId="6" borderId="1" pivotButton="0" quotePrefix="0" xfId="0"/>
    <xf numFmtId="0" fontId="10" fillId="5" borderId="0" pivotButton="0" quotePrefix="0" xfId="0"/>
    <xf numFmtId="0" fontId="0" fillId="5" borderId="0" pivotButton="0" quotePrefix="0" xfId="0"/>
    <xf numFmtId="3" fontId="5" fillId="0" borderId="1" pivotButton="0" quotePrefix="0" xfId="0"/>
    <xf numFmtId="0" fontId="11" fillId="0" borderId="0" pivotButton="0" quotePrefix="0" xfId="0"/>
    <xf numFmtId="3" fontId="11" fillId="6" borderId="1" pivotButton="0" quotePrefix="0" xfId="0"/>
    <xf numFmtId="4" fontId="5" fillId="0" borderId="1" pivotButton="0" quotePrefix="0" xfId="0"/>
    <xf numFmtId="0" fontId="9" fillId="5" borderId="0" pivotButton="0" quotePrefix="0" xfId="0"/>
    <xf numFmtId="0" fontId="6" fillId="7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3" fontId="12" fillId="0" borderId="0" pivotButton="0" quotePrefix="0" xfId="0"/>
    <xf numFmtId="0" fontId="8" fillId="0" borderId="0" pivotButton="0" quotePrefix="0" xfId="0"/>
    <xf numFmtId="164" fontId="0" fillId="7" borderId="0" pivotButton="0" quotePrefix="0" xfId="0"/>
    <xf numFmtId="0" fontId="13" fillId="0" borderId="0" applyAlignment="1" pivotButton="0" quotePrefix="0" xfId="0">
      <alignment horizontal="center"/>
    </xf>
    <xf numFmtId="0" fontId="6" fillId="0" borderId="1" pivotButton="0" quotePrefix="0" xfId="0"/>
    <xf numFmtId="3" fontId="6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6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DATASIFT REHAB COST ESTIMATOR</t>
        </is>
      </c>
    </row>
    <row r="2">
      <c r="A2" s="2" t="inlineStr">
        <is>
          <t>Property: 5532 Joyce Ann Dr, Dayton, OH 45415</t>
        </is>
      </c>
    </row>
    <row r="3">
      <c r="A3" s="3" t="inlineStr">
        <is>
          <t>Local Pricing: Dayton, OH (Cost Index: 0.82x)</t>
        </is>
      </c>
    </row>
    <row r="4"/>
    <row r="5">
      <c r="A5" s="4" t="inlineStr">
        <is>
          <t>Property Details</t>
        </is>
      </c>
    </row>
    <row r="6">
      <c r="A6" s="5" t="inlineStr">
        <is>
          <t>Square Footage</t>
        </is>
      </c>
      <c r="B6" s="6" t="inlineStr">
        <is>
          <t>1,892 SF</t>
        </is>
      </c>
    </row>
    <row r="7">
      <c r="A7" s="5" t="inlineStr">
        <is>
          <t>Bed/Bath</t>
        </is>
      </c>
      <c r="B7" s="6" t="inlineStr">
        <is>
          <t>3 bed / 2.0 bath</t>
        </is>
      </c>
    </row>
    <row r="8">
      <c r="A8" s="5" t="inlineStr">
        <is>
          <t>Year Built</t>
        </is>
      </c>
      <c r="B8" s="6" t="inlineStr">
        <is>
          <t>1961</t>
        </is>
      </c>
    </row>
    <row r="9">
      <c r="A9" s="5" t="inlineStr">
        <is>
          <t>Property Type</t>
        </is>
      </c>
      <c r="B9" s="6" t="inlineStr">
        <is>
          <t>Single Family - Brick Ranch</t>
        </is>
      </c>
    </row>
    <row r="10">
      <c r="A10" s="5" t="inlineStr">
        <is>
          <t>Condition</t>
        </is>
      </c>
      <c r="B10" s="6" t="inlineStr">
        <is>
          <t>Dated cosmetic condition. Kitchen and baths need full remodel. Flooring worn throughout. HVAC furnace is new (2024), but A/C condenser is original R-22 unit. Electrical panel is breaker (not fuse), adequate. Roof noted as poor condition. Structure is solid brick.</t>
        </is>
      </c>
    </row>
    <row r="11"/>
    <row r="12">
      <c r="A12" s="4" t="inlineStr">
        <is>
          <t>Comp Reference</t>
        </is>
      </c>
    </row>
    <row r="13">
      <c r="A13" s="5" t="inlineStr">
        <is>
          <t>ARV (After Repair Value)</t>
        </is>
      </c>
      <c r="B13" s="6" t="inlineStr">
        <is>
          <t>$265,000</t>
        </is>
      </c>
    </row>
    <row r="14">
      <c r="A14" s="5" t="inlineStr">
        <is>
          <t>Purchase Price</t>
        </is>
      </c>
      <c r="B14" s="6" t="inlineStr">
        <is>
          <t>$155,000</t>
        </is>
      </c>
    </row>
    <row r="15">
      <c r="A15" s="5" t="inlineStr">
        <is>
          <t>Bucket A PPSF (Unrenovated)</t>
        </is>
      </c>
      <c r="B15" s="6" t="inlineStr">
        <is>
          <t>$125.03</t>
        </is>
      </c>
    </row>
    <row r="16">
      <c r="A16" s="5" t="inlineStr">
        <is>
          <t>Bucket B PPSF (Renovated)</t>
        </is>
      </c>
      <c r="B16" s="6" t="inlineStr">
        <is>
          <t>$156.35</t>
        </is>
      </c>
    </row>
    <row r="17">
      <c r="A17" s="5" t="inlineStr">
        <is>
          <t>Renovation Premium</t>
        </is>
      </c>
      <c r="B17" s="6" t="inlineStr">
        <is>
          <t>20.4%</t>
        </is>
      </c>
    </row>
    <row r="18">
      <c r="A18" s="5" t="inlineStr">
        <is>
          <t>Market Premium ($)</t>
        </is>
      </c>
      <c r="B18" s="6" t="inlineStr">
        <is>
          <t>$59,258</t>
        </is>
      </c>
    </row>
    <row r="19"/>
    <row r="20"/>
    <row r="21">
      <c r="A21" s="4" t="inlineStr">
        <is>
          <t>Cost Estimate Comparison</t>
        </is>
      </c>
    </row>
    <row r="22">
      <c r="A22" s="7" t="inlineStr">
        <is>
          <t>Metric</t>
        </is>
      </c>
      <c r="B22" s="7" t="inlineStr">
        <is>
          <t>Full Rehab</t>
        </is>
      </c>
      <c r="C22" s="7" t="inlineStr">
        <is>
          <t>Wholetail</t>
        </is>
      </c>
    </row>
    <row r="23">
      <c r="A23" s="8" t="inlineStr">
        <is>
          <t>Scope</t>
        </is>
      </c>
      <c r="B23" s="8" t="inlineStr">
        <is>
          <t>Full Rehab</t>
        </is>
      </c>
      <c r="C23" s="8" t="inlineStr">
        <is>
          <t>Wholetail</t>
        </is>
      </c>
    </row>
    <row r="24">
      <c r="A24" s="9" t="inlineStr">
        <is>
          <t>Finish Tier</t>
        </is>
      </c>
      <c r="B24" s="9" t="inlineStr">
        <is>
          <t>Investor-Flip Grade (Tier 3)</t>
        </is>
      </c>
      <c r="C24" s="9" t="inlineStr">
        <is>
          <t>Builder to Mid Grade</t>
        </is>
      </c>
    </row>
    <row r="25">
      <c r="A25" s="8" t="inlineStr">
        <is>
          <t>Estimate</t>
        </is>
      </c>
      <c r="B25" s="10" t="n">
        <v>63379</v>
      </c>
      <c r="C25" s="10" t="n">
        <v>11358</v>
      </c>
    </row>
    <row r="26">
      <c r="A26" s="9" t="inlineStr">
        <is>
          <t>Cost/SF</t>
        </is>
      </c>
      <c r="B26" s="11" t="n">
        <v>33.5</v>
      </c>
      <c r="C26" s="11" t="n">
        <v>6</v>
      </c>
    </row>
    <row r="27">
      <c r="A27" s="8" t="inlineStr">
        <is>
          <t>Contingency</t>
        </is>
      </c>
      <c r="B27" s="8" t="inlineStr">
        <is>
          <t>10%</t>
        </is>
      </c>
      <c r="C27" s="8" t="inlineStr">
        <is>
          <t>5%</t>
        </is>
      </c>
    </row>
    <row r="28"/>
    <row r="29"/>
    <row r="30">
      <c r="A30" s="4" t="inlineStr">
        <is>
          <t>Deal Analysis</t>
        </is>
      </c>
    </row>
    <row r="31">
      <c r="A31" s="7" t="inlineStr">
        <is>
          <t>Metric</t>
        </is>
      </c>
      <c r="B31" s="7" t="inlineStr">
        <is>
          <t>Full Rehab</t>
        </is>
      </c>
      <c r="C31" s="7" t="inlineStr">
        <is>
          <t>Wholetail</t>
        </is>
      </c>
    </row>
    <row r="32">
      <c r="A32" s="8" t="inlineStr">
        <is>
          <t>ARV</t>
        </is>
      </c>
      <c r="B32" s="10" t="n">
        <v>265000</v>
      </c>
      <c r="C32" s="10" t="n">
        <v>265000</v>
      </c>
    </row>
    <row r="33">
      <c r="A33" s="9" t="inlineStr">
        <is>
          <t>Purchase Price</t>
        </is>
      </c>
      <c r="B33" s="12" t="n">
        <v>155000</v>
      </c>
      <c r="C33" s="12" t="n">
        <v>155000</v>
      </c>
    </row>
    <row r="34">
      <c r="A34" s="8" t="inlineStr">
        <is>
          <t>Rehab Cost</t>
        </is>
      </c>
      <c r="B34" s="10" t="n">
        <v>63379</v>
      </c>
      <c r="C34" s="10" t="n">
        <v>11358</v>
      </c>
    </row>
    <row r="35">
      <c r="A35" s="9" t="inlineStr">
        <is>
          <t>Total Investment</t>
        </is>
      </c>
      <c r="B35" s="12" t="n">
        <v>218379</v>
      </c>
      <c r="C35" s="12" t="n">
        <v>166358</v>
      </c>
    </row>
    <row r="36">
      <c r="A36" s="8" t="inlineStr">
        <is>
          <t>Potential Profit</t>
        </is>
      </c>
      <c r="B36" s="13" t="n">
        <v>46621</v>
      </c>
      <c r="C36" s="13" t="n">
        <v>48642</v>
      </c>
    </row>
    <row r="37">
      <c r="A37" s="9" t="inlineStr">
        <is>
          <t>ROI</t>
        </is>
      </c>
      <c r="B37" s="14" t="n">
        <v>0.213</v>
      </c>
      <c r="C37" s="14" t="n">
        <v>0.292</v>
      </c>
    </row>
    <row r="38">
      <c r="A38" s="8" t="inlineStr">
        <is>
          <t>75% Rule MAO</t>
        </is>
      </c>
      <c r="B38" s="10" t="n">
        <v>135371</v>
      </c>
      <c r="C38" s="8" t="inlineStr">
        <is>
          <t>N/A</t>
        </is>
      </c>
    </row>
    <row r="39"/>
    <row r="40"/>
    <row r="41">
      <c r="A41" s="4" t="inlineStr">
        <is>
          <t>Recommendations</t>
        </is>
      </c>
    </row>
    <row r="42">
      <c r="A42" s="6" t="inlineStr">
        <is>
          <t>• Wholetail may offer BETTER ROI than full rehab on this deal. At ~$11K wholetail cost vs ~$63K full rehab, the wholetail route produces similar gross profit ($49K vs $47K) with far less risk, time, and capital deployed. Consider wholetail exit at $205-215K.</t>
        </is>
      </c>
    </row>
    <row r="43">
      <c r="A43" s="6" t="inlineStr">
        <is>
          <t>• Roof needs professional inspection before closing. Inspector rated it Poor (10+ years). Budget $6,000-9,000 for replacement (15-20 squares) if needed — this would be a separate line item above the contractor SOW.</t>
        </is>
      </c>
    </row>
    <row r="44">
      <c r="A44" s="6" t="inlineStr">
        <is>
          <t>• Verify window count with on-site walkthrough. Estimate assumes 15 windows; actual count may be higher (calibration data from a similar deal showed 17). Each additional window adds $550.</t>
        </is>
      </c>
    </row>
    <row r="45">
      <c r="A45" s="6" t="inlineStr">
        <is>
          <t>• The A/C condenser (R-22) MUST be replaced regardless of exit strategy. R-22 refrigerant is no longer manufactured and the system cannot be legally recharged. Budget $2,800.</t>
        </is>
      </c>
    </row>
    <row r="46">
      <c r="A46" s="6" t="inlineStr">
        <is>
          <t>• New furnace (2024) is a strong selling point for either exit strategy. Highlight in listing.</t>
        </is>
      </c>
    </row>
    <row r="47">
      <c r="A47" s="6" t="inlineStr">
        <is>
          <t>• GLA discrepancy between sources (1,652 vs 1,892 sqft). If actual GLA is closer to 1,652, reduce ARV to ~$240K. Verify with Montgomery County Auditor.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DATASIFT FULL REHAB ESTIMATE</t>
        </is>
      </c>
    </row>
    <row r="2">
      <c r="A2" s="3" t="inlineStr">
        <is>
          <t>Local Pricing: Dayton, OH | Multiplier: 0.82x National</t>
        </is>
      </c>
    </row>
    <row r="3">
      <c r="A3" s="15" t="inlineStr">
        <is>
          <t>Property: 5532 Joyce Ann Dr | 1,892 SF | Finish: Investor-Flip Grade (Tier 3)</t>
        </is>
      </c>
    </row>
    <row r="4">
      <c r="A4" s="16" t="inlineStr">
        <is>
          <t>Mark "X" in Include column to add item to estimate. Totals auto-calculate.</t>
        </is>
      </c>
    </row>
    <row r="5"/>
    <row r="6">
      <c r="A6" s="7" t="inlineStr">
        <is>
          <t>Repair Item</t>
        </is>
      </c>
      <c r="B6" s="7" t="inlineStr">
        <is>
          <t>Include?</t>
        </is>
      </c>
      <c r="C6" s="7" t="inlineStr">
        <is>
          <t>Qty</t>
        </is>
      </c>
      <c r="D6" s="7" t="inlineStr">
        <is>
          <t>Unit</t>
        </is>
      </c>
      <c r="E6" s="7" t="inlineStr">
        <is>
          <t>$/Unit</t>
        </is>
      </c>
      <c r="F6" s="7" t="inlineStr">
        <is>
          <t>Total</t>
        </is>
      </c>
      <c r="G6" s="7" t="inlineStr">
        <is>
          <t>Notes</t>
        </is>
      </c>
    </row>
    <row r="7">
      <c r="A7" s="17" t="inlineStr">
        <is>
          <t>DEMO &amp; CLEANUP</t>
        </is>
      </c>
    </row>
    <row r="8">
      <c r="A8" s="8" t="inlineStr">
        <is>
          <t>Full house interior demo</t>
        </is>
      </c>
      <c r="B8" s="18" t="inlineStr">
        <is>
          <t>X</t>
        </is>
      </c>
      <c r="C8" s="8" t="n">
        <v>1</v>
      </c>
      <c r="D8" s="8" t="inlineStr">
        <is>
          <t>EA</t>
        </is>
      </c>
      <c r="E8" s="19" t="n">
        <v>2500</v>
      </c>
      <c r="F8" s="19" t="n">
        <v>2500</v>
      </c>
      <c r="G8" s="8" t="inlineStr">
        <is>
          <t>Strip all flooring, fixtures, cabinets, prep for renovation</t>
        </is>
      </c>
    </row>
    <row r="9">
      <c r="A9" s="9" t="inlineStr">
        <is>
          <t>30-yard dumpster</t>
        </is>
      </c>
      <c r="B9" s="20" t="inlineStr">
        <is>
          <t>X</t>
        </is>
      </c>
      <c r="C9" s="9" t="n">
        <v>2</v>
      </c>
      <c r="D9" s="9" t="inlineStr">
        <is>
          <t>EA</t>
        </is>
      </c>
      <c r="E9" s="21" t="n">
        <v>530</v>
      </c>
      <c r="F9" s="21" t="n">
        <v>1060</v>
      </c>
      <c r="G9" s="9" t="inlineStr">
        <is>
          <t>Full renovation waste removal</t>
        </is>
      </c>
    </row>
    <row r="10">
      <c r="A10" s="5" t="inlineStr">
        <is>
          <t>Demo &amp; Cleanup Subtotal</t>
        </is>
      </c>
      <c r="F10" s="22" t="n">
        <v>3560</v>
      </c>
    </row>
    <row r="11"/>
    <row r="12">
      <c r="A12" s="17" t="inlineStr">
        <is>
          <t>PAINT</t>
        </is>
      </c>
    </row>
    <row r="13">
      <c r="A13" s="8" t="inlineStr">
        <is>
          <t>Interior paint — all-in (walls + trim + ceiling)</t>
        </is>
      </c>
      <c r="B13" s="18" t="inlineStr">
        <is>
          <t>X</t>
        </is>
      </c>
      <c r="C13" s="8" t="n">
        <v>2100</v>
      </c>
      <c r="D13" s="8" t="inlineStr">
        <is>
          <t>SF</t>
        </is>
      </c>
      <c r="E13" s="19" t="n">
        <v>2.95</v>
      </c>
      <c r="F13" s="19" t="n">
        <v>6195</v>
      </c>
      <c r="G13" s="8" t="inlineStr">
        <is>
          <t>Single rate per paintable wall SF. Agreeable Gray walls, Extra White trim.</t>
        </is>
      </c>
    </row>
    <row r="14">
      <c r="A14" s="9" t="inlineStr">
        <is>
          <t>Primer (stain block)</t>
        </is>
      </c>
      <c r="B14" s="20" t="inlineStr">
        <is>
          <t>X</t>
        </is>
      </c>
      <c r="C14" s="9" t="n">
        <v>800</v>
      </c>
      <c r="D14" s="9" t="inlineStr">
        <is>
          <t>SF</t>
        </is>
      </c>
      <c r="E14" s="21" t="n">
        <v>2</v>
      </c>
      <c r="F14" s="21" t="n">
        <v>1600</v>
      </c>
      <c r="G14" s="9" t="inlineStr">
        <is>
          <t>Dark accent walls and stain-prone areas only</t>
        </is>
      </c>
    </row>
    <row r="15">
      <c r="A15" s="5" t="inlineStr">
        <is>
          <t>Paint Subtotal</t>
        </is>
      </c>
      <c r="F15" s="22" t="n">
        <v>7795</v>
      </c>
    </row>
    <row r="16"/>
    <row r="17">
      <c r="A17" s="17" t="inlineStr">
        <is>
          <t>FLOORING</t>
        </is>
      </c>
    </row>
    <row r="18">
      <c r="A18" s="8" t="inlineStr">
        <is>
          <t>LVP — Lifeproof (living, dining, kitchen, halls)</t>
        </is>
      </c>
      <c r="B18" s="18" t="inlineStr">
        <is>
          <t>X</t>
        </is>
      </c>
      <c r="C18" s="8" t="n">
        <v>1100</v>
      </c>
      <c r="D18" s="8" t="inlineStr">
        <is>
          <t>SF</t>
        </is>
      </c>
      <c r="E18" s="19" t="n">
        <v>5.5</v>
      </c>
      <c r="F18" s="19" t="n">
        <v>6050</v>
      </c>
      <c r="G18" s="8" t="inlineStr">
        <is>
          <t>Installed with underlayment. 10% waste factor included.</t>
        </is>
      </c>
    </row>
    <row r="19">
      <c r="A19" s="9" t="inlineStr">
        <is>
          <t>Carpet — bedrooms (with pad)</t>
        </is>
      </c>
      <c r="B19" s="20" t="inlineStr">
        <is>
          <t>X</t>
        </is>
      </c>
      <c r="C19" s="9" t="n">
        <v>480</v>
      </c>
      <c r="D19" s="9" t="inlineStr">
        <is>
          <t>SF</t>
        </is>
      </c>
      <c r="E19" s="21" t="n">
        <v>4.25</v>
      </c>
      <c r="F19" s="21" t="n">
        <v>2040</v>
      </c>
      <c r="G19" s="9" t="inlineStr">
        <is>
          <t>3 bedrooms, standard plush carpet</t>
        </is>
      </c>
    </row>
    <row r="20">
      <c r="A20" s="5" t="inlineStr">
        <is>
          <t>Flooring Subtotal</t>
        </is>
      </c>
      <c r="F20" s="22" t="n">
        <v>8090</v>
      </c>
    </row>
    <row r="21"/>
    <row r="22">
      <c r="A22" s="17" t="inlineStr">
        <is>
          <t>KITCHEN</t>
        </is>
      </c>
    </row>
    <row r="23">
      <c r="A23" s="8" t="inlineStr">
        <is>
          <t>Cabinets — rip &amp; replace (14-unit, white shaker)</t>
        </is>
      </c>
      <c r="B23" s="18" t="inlineStr">
        <is>
          <t>X</t>
        </is>
      </c>
      <c r="C23" s="8" t="n">
        <v>1</v>
      </c>
      <c r="D23" s="8" t="inlineStr">
        <is>
          <t>EA</t>
        </is>
      </c>
      <c r="E23" s="19" t="n">
        <v>4550</v>
      </c>
      <c r="F23" s="19" t="n">
        <v>4550</v>
      </c>
      <c r="G23" s="8" t="inlineStr">
        <is>
          <t>Soft-close, stock shaker cabinets</t>
        </is>
      </c>
    </row>
    <row r="24">
      <c r="A24" s="9" t="inlineStr">
        <is>
          <t>Granite countertop (Level 1)</t>
        </is>
      </c>
      <c r="B24" s="20" t="inlineStr">
        <is>
          <t>X</t>
        </is>
      </c>
      <c r="C24" s="9" t="n">
        <v>44</v>
      </c>
      <c r="D24" s="9" t="inlineStr">
        <is>
          <t>SF</t>
        </is>
      </c>
      <c r="E24" s="21" t="n">
        <v>50</v>
      </c>
      <c r="F24" s="21" t="n">
        <v>2200</v>
      </c>
      <c r="G24" s="9" t="inlineStr">
        <is>
          <t>Installed, includes cutouts and edge</t>
        </is>
      </c>
    </row>
    <row r="25">
      <c r="A25" s="8" t="inlineStr">
        <is>
          <t>Backsplash — subway tile</t>
        </is>
      </c>
      <c r="B25" s="18" t="inlineStr">
        <is>
          <t>X</t>
        </is>
      </c>
      <c r="C25" s="8" t="n">
        <v>40</v>
      </c>
      <c r="D25" s="8" t="inlineStr">
        <is>
          <t>SF</t>
        </is>
      </c>
      <c r="E25" s="19" t="n">
        <v>12</v>
      </c>
      <c r="F25" s="19" t="n">
        <v>480</v>
      </c>
      <c r="G25" s="8" t="inlineStr">
        <is>
          <t>White 3x6 subway, installed</t>
        </is>
      </c>
    </row>
    <row r="26">
      <c r="A26" s="9" t="inlineStr">
        <is>
          <t>Kitchen faucet (pull-down)</t>
        </is>
      </c>
      <c r="B26" s="20" t="inlineStr">
        <is>
          <t>X</t>
        </is>
      </c>
      <c r="C26" s="9" t="n">
        <v>1</v>
      </c>
      <c r="D26" s="9" t="inlineStr">
        <is>
          <t>EA</t>
        </is>
      </c>
      <c r="E26" s="21" t="n">
        <v>209</v>
      </c>
      <c r="F26" s="21" t="n">
        <v>209</v>
      </c>
      <c r="G26" s="9" t="inlineStr">
        <is>
          <t>Matte black or brushed nickel</t>
        </is>
      </c>
    </row>
    <row r="27">
      <c r="A27" s="8" t="inlineStr">
        <is>
          <t>Kitchen sink (SS undermount)</t>
        </is>
      </c>
      <c r="B27" s="18" t="inlineStr">
        <is>
          <t>X</t>
        </is>
      </c>
      <c r="C27" s="8" t="n">
        <v>1</v>
      </c>
      <c r="D27" s="8" t="inlineStr">
        <is>
          <t>EA</t>
        </is>
      </c>
      <c r="E27" s="19" t="n">
        <v>151</v>
      </c>
      <c r="F27" s="19" t="n">
        <v>151</v>
      </c>
      <c r="G27" s="8" t="inlineStr">
        <is>
          <t>Single-bowl stainless steel</t>
        </is>
      </c>
    </row>
    <row r="28">
      <c r="A28" s="9" t="inlineStr">
        <is>
          <t>Garbage disposal (1/2 HP)</t>
        </is>
      </c>
      <c r="B28" s="20" t="inlineStr">
        <is>
          <t>X</t>
        </is>
      </c>
      <c r="C28" s="9" t="n">
        <v>1</v>
      </c>
      <c r="D28" s="9" t="inlineStr">
        <is>
          <t>EA</t>
        </is>
      </c>
      <c r="E28" s="21" t="n">
        <v>250</v>
      </c>
      <c r="F28" s="21" t="n">
        <v>250</v>
      </c>
      <c r="G28" s="9" t="inlineStr">
        <is>
          <t>InSinkErator or equivalent</t>
        </is>
      </c>
    </row>
    <row r="29">
      <c r="A29" s="8" t="inlineStr">
        <is>
          <t>Cabinet hardware (pulls &amp; knobs)</t>
        </is>
      </c>
      <c r="B29" s="18" t="inlineStr">
        <is>
          <t>X</t>
        </is>
      </c>
      <c r="C29" s="8" t="n">
        <v>28</v>
      </c>
      <c r="D29" s="8" t="inlineStr">
        <is>
          <t>EA</t>
        </is>
      </c>
      <c r="E29" s="19" t="n">
        <v>6</v>
      </c>
      <c r="F29" s="19" t="n">
        <v>168</v>
      </c>
      <c r="G29" s="8" t="inlineStr">
        <is>
          <t>Matte black bin pulls and knobs</t>
        </is>
      </c>
    </row>
    <row r="30">
      <c r="A30" s="5" t="inlineStr">
        <is>
          <t>Kitchen Subtotal</t>
        </is>
      </c>
      <c r="F30" s="22" t="n">
        <v>8008</v>
      </c>
    </row>
    <row r="31"/>
    <row r="32">
      <c r="A32" s="17" t="inlineStr">
        <is>
          <t>BATHROOMS</t>
        </is>
      </c>
    </row>
    <row r="33">
      <c r="A33" s="8" t="inlineStr">
        <is>
          <t>Full bath renovation (hall bath)</t>
        </is>
      </c>
      <c r="B33" s="18" t="inlineStr">
        <is>
          <t>X</t>
        </is>
      </c>
      <c r="C33" s="8" t="n">
        <v>1</v>
      </c>
      <c r="D33" s="8" t="inlineStr">
        <is>
          <t>EA</t>
        </is>
      </c>
      <c r="E33" s="19" t="n">
        <v>4000</v>
      </c>
      <c r="F33" s="19" t="n">
        <v>4000</v>
      </c>
      <c r="G33" s="8" t="inlineStr">
        <is>
          <t>New vanity, toilet, tub surround, tile floor, fixtures</t>
        </is>
      </c>
    </row>
    <row r="34">
      <c r="A34" s="9" t="inlineStr">
        <is>
          <t>Full bath renovation (master bath)</t>
        </is>
      </c>
      <c r="B34" s="20" t="inlineStr">
        <is>
          <t>X</t>
        </is>
      </c>
      <c r="C34" s="9" t="n">
        <v>1</v>
      </c>
      <c r="D34" s="9" t="inlineStr">
        <is>
          <t>EA</t>
        </is>
      </c>
      <c r="E34" s="21" t="n">
        <v>4000</v>
      </c>
      <c r="F34" s="21" t="n">
        <v>4000</v>
      </c>
      <c r="G34" s="9" t="inlineStr">
        <is>
          <t>New vanity, toilet, shower refresh, tile floor, fixtures</t>
        </is>
      </c>
    </row>
    <row r="35">
      <c r="A35" s="8" t="inlineStr">
        <is>
          <t>Hall bath ceiling repair (water damage)</t>
        </is>
      </c>
      <c r="B35" s="18" t="inlineStr">
        <is>
          <t>X</t>
        </is>
      </c>
      <c r="C35" s="8" t="n">
        <v>1</v>
      </c>
      <c r="D35" s="8" t="inlineStr">
        <is>
          <t>EA</t>
        </is>
      </c>
      <c r="E35" s="19" t="n">
        <v>500</v>
      </c>
      <c r="F35" s="19" t="n">
        <v>500</v>
      </c>
      <c r="G35" s="8" t="inlineStr">
        <is>
          <t>Remove OSB patches, hang new drywall, tape, mud, finish</t>
        </is>
      </c>
    </row>
    <row r="36">
      <c r="A36" s="5" t="inlineStr">
        <is>
          <t>Bathrooms Subtotal</t>
        </is>
      </c>
      <c r="F36" s="22" t="n">
        <v>8500</v>
      </c>
    </row>
    <row r="37"/>
    <row r="38">
      <c r="A38" s="17" t="inlineStr">
        <is>
          <t>WINDOWS &amp; DOORS</t>
        </is>
      </c>
    </row>
    <row r="39">
      <c r="A39" s="8" t="inlineStr">
        <is>
          <t>Vinyl replacement windows</t>
        </is>
      </c>
      <c r="B39" s="18" t="inlineStr">
        <is>
          <t>X</t>
        </is>
      </c>
      <c r="C39" s="8" t="n">
        <v>15</v>
      </c>
      <c r="D39" s="8" t="inlineStr">
        <is>
          <t>EA</t>
        </is>
      </c>
      <c r="E39" s="19" t="n">
        <v>550</v>
      </c>
      <c r="F39" s="19" t="n">
        <v>8250</v>
      </c>
      <c r="G39" s="8" t="inlineStr">
        <is>
          <t>Double-hung, energy efficient. Count from inspection photos.</t>
        </is>
      </c>
    </row>
    <row r="40">
      <c r="A40" s="9" t="inlineStr">
        <is>
          <t>Interior door slabs (replace damaged)</t>
        </is>
      </c>
      <c r="B40" s="20" t="inlineStr">
        <is>
          <t>X</t>
        </is>
      </c>
      <c r="C40" s="9" t="n">
        <v>2</v>
      </c>
      <c r="D40" s="9" t="inlineStr">
        <is>
          <t>EA</t>
        </is>
      </c>
      <c r="E40" s="21" t="n">
        <v>220</v>
      </c>
      <c r="F40" s="21" t="n">
        <v>440</v>
      </c>
      <c r="G40" s="9" t="inlineStr">
        <is>
          <t>Only doors with visible damage</t>
        </is>
      </c>
    </row>
    <row r="41">
      <c r="A41" s="8" t="inlineStr">
        <is>
          <t>Door hardware — levers (all interior)</t>
        </is>
      </c>
      <c r="B41" s="18" t="inlineStr">
        <is>
          <t>X</t>
        </is>
      </c>
      <c r="C41" s="8" t="n">
        <v>10</v>
      </c>
      <c r="D41" s="8" t="inlineStr">
        <is>
          <t>EA</t>
        </is>
      </c>
      <c r="E41" s="19" t="n">
        <v>60</v>
      </c>
      <c r="F41" s="19" t="n">
        <v>600</v>
      </c>
      <c r="G41" s="8" t="inlineStr">
        <is>
          <t>Matching matte black or brushed nickel</t>
        </is>
      </c>
    </row>
    <row r="42">
      <c r="A42" s="9" t="inlineStr">
        <is>
          <t>Smart key locks (exterior)</t>
        </is>
      </c>
      <c r="B42" s="20" t="inlineStr">
        <is>
          <t>X</t>
        </is>
      </c>
      <c r="C42" s="9" t="n">
        <v>2</v>
      </c>
      <c r="D42" s="9" t="inlineStr">
        <is>
          <t>EA</t>
        </is>
      </c>
      <c r="E42" s="21" t="n">
        <v>75</v>
      </c>
      <c r="F42" s="21" t="n">
        <v>150</v>
      </c>
      <c r="G42" s="9" t="inlineStr">
        <is>
          <t>Front door + garage entry</t>
        </is>
      </c>
    </row>
    <row r="43">
      <c r="A43" s="8" t="inlineStr">
        <is>
          <t>Bypass closet door set</t>
        </is>
      </c>
      <c r="B43" s="18" t="inlineStr">
        <is>
          <t>X</t>
        </is>
      </c>
      <c r="C43" s="8" t="n">
        <v>1</v>
      </c>
      <c r="D43" s="8" t="inlineStr">
        <is>
          <t>EA</t>
        </is>
      </c>
      <c r="E43" s="19" t="n">
        <v>335</v>
      </c>
      <c r="F43" s="19" t="n">
        <v>335</v>
      </c>
      <c r="G43" s="8" t="inlineStr">
        <is>
          <t>Replace 1 damaged bifold with bypass</t>
        </is>
      </c>
    </row>
    <row r="44">
      <c r="A44" s="5" t="inlineStr">
        <is>
          <t>Windows &amp; Doors Subtotal</t>
        </is>
      </c>
      <c r="F44" s="22" t="n">
        <v>9775</v>
      </c>
    </row>
    <row r="45"/>
    <row r="46">
      <c r="A46" s="17" t="inlineStr">
        <is>
          <t>ELECTRICAL</t>
        </is>
      </c>
    </row>
    <row r="47">
      <c r="A47" s="8" t="inlineStr">
        <is>
          <t>Outlets/switches — per room</t>
        </is>
      </c>
      <c r="B47" s="18" t="inlineStr">
        <is>
          <t>X</t>
        </is>
      </c>
      <c r="C47" s="8" t="n">
        <v>6</v>
      </c>
      <c r="D47" s="8" t="inlineStr">
        <is>
          <t>RM</t>
        </is>
      </c>
      <c r="E47" s="19" t="n">
        <v>100</v>
      </c>
      <c r="F47" s="19" t="n">
        <v>600</v>
      </c>
      <c r="G47" s="8" t="inlineStr">
        <is>
          <t>Replace all outlets + switches in renovated rooms</t>
        </is>
      </c>
    </row>
    <row r="48">
      <c r="A48" s="9" t="inlineStr">
        <is>
          <t>Flush mount light fixtures (matte black)</t>
        </is>
      </c>
      <c r="B48" s="20" t="inlineStr">
        <is>
          <t>X</t>
        </is>
      </c>
      <c r="C48" s="9" t="n">
        <v>8</v>
      </c>
      <c r="D48" s="9" t="inlineStr">
        <is>
          <t>EA</t>
        </is>
      </c>
      <c r="E48" s="21" t="n">
        <v>77</v>
      </c>
      <c r="F48" s="21" t="n">
        <v>616</v>
      </c>
      <c r="G48" s="9" t="inlineStr">
        <is>
          <t>Modern flush mount, interior rooms + halls</t>
        </is>
      </c>
    </row>
    <row r="49">
      <c r="A49" s="8" t="inlineStr">
        <is>
          <t>Exterior motion lights</t>
        </is>
      </c>
      <c r="B49" s="18" t="inlineStr">
        <is>
          <t>X</t>
        </is>
      </c>
      <c r="C49" s="8" t="n">
        <v>2</v>
      </c>
      <c r="D49" s="8" t="inlineStr">
        <is>
          <t>EA</t>
        </is>
      </c>
      <c r="E49" s="19" t="n">
        <v>110</v>
      </c>
      <c r="F49" s="19" t="n">
        <v>220</v>
      </c>
      <c r="G49" s="8" t="inlineStr">
        <is>
          <t>Motion-activated, front and rear</t>
        </is>
      </c>
    </row>
    <row r="50">
      <c r="A50" s="9" t="inlineStr">
        <is>
          <t>Smoke alarms (battery)</t>
        </is>
      </c>
      <c r="B50" s="20" t="inlineStr">
        <is>
          <t>X</t>
        </is>
      </c>
      <c r="C50" s="9" t="n">
        <v>4</v>
      </c>
      <c r="D50" s="9" t="inlineStr">
        <is>
          <t>EA</t>
        </is>
      </c>
      <c r="E50" s="21" t="n">
        <v>30</v>
      </c>
      <c r="F50" s="21" t="n">
        <v>120</v>
      </c>
      <c r="G50" s="9" t="inlineStr">
        <is>
          <t>Code compliance — all bedrooms + hallway</t>
        </is>
      </c>
    </row>
    <row r="51">
      <c r="A51" s="5" t="inlineStr">
        <is>
          <t>Electrical Subtotal</t>
        </is>
      </c>
      <c r="F51" s="22" t="n">
        <v>1556</v>
      </c>
    </row>
    <row r="52"/>
    <row r="53">
      <c r="A53" s="17" t="inlineStr">
        <is>
          <t>DRYWALL</t>
        </is>
      </c>
    </row>
    <row r="54">
      <c r="A54" s="8" t="inlineStr">
        <is>
          <t>Drywall patches (punch repair)</t>
        </is>
      </c>
      <c r="B54" s="18" t="inlineStr">
        <is>
          <t>X</t>
        </is>
      </c>
      <c r="C54" s="8" t="n">
        <v>3</v>
      </c>
      <c r="D54" s="8" t="inlineStr">
        <is>
          <t>EA</t>
        </is>
      </c>
      <c r="E54" s="19" t="n">
        <v>250</v>
      </c>
      <c r="F54" s="19" t="n">
        <v>750</v>
      </c>
      <c r="G54" s="8" t="inlineStr">
        <is>
          <t>Wall damage throughout — repair, tape, mud, texture match</t>
        </is>
      </c>
    </row>
    <row r="55">
      <c r="A55" s="5" t="inlineStr">
        <is>
          <t>Drywall Subtotal</t>
        </is>
      </c>
      <c r="F55" s="22" t="n">
        <v>750</v>
      </c>
    </row>
    <row r="56"/>
    <row r="57">
      <c r="A57" s="17" t="inlineStr">
        <is>
          <t>TRIM &amp; MILLWORK</t>
        </is>
      </c>
    </row>
    <row r="58">
      <c r="A58" s="8" t="inlineStr">
        <is>
          <t>Shoe mold (at new flooring transitions)</t>
        </is>
      </c>
      <c r="B58" s="18" t="inlineStr">
        <is>
          <t>X</t>
        </is>
      </c>
      <c r="C58" s="8" t="n">
        <v>250</v>
      </c>
      <c r="D58" s="8" t="inlineStr">
        <is>
          <t>LF</t>
        </is>
      </c>
      <c r="E58" s="19" t="n">
        <v>1.35</v>
      </c>
      <c r="F58" s="19" t="n">
        <v>338</v>
      </c>
      <c r="G58" s="8" t="inlineStr">
        <is>
          <t>Where new LVP meets wall in renovated rooms</t>
        </is>
      </c>
    </row>
    <row r="59">
      <c r="A59" s="9" t="inlineStr">
        <is>
          <t>Baseboard — replace damaged sections</t>
        </is>
      </c>
      <c r="B59" s="20" t="inlineStr">
        <is>
          <t>X</t>
        </is>
      </c>
      <c r="C59" s="9" t="n">
        <v>100</v>
      </c>
      <c r="D59" s="9" t="inlineStr">
        <is>
          <t>LF</t>
        </is>
      </c>
      <c r="E59" s="21" t="n">
        <v>2.7</v>
      </c>
      <c r="F59" s="21" t="n">
        <v>270</v>
      </c>
      <c r="G59" s="9" t="inlineStr">
        <is>
          <t>Only visibly damaged areas, 3.25in MDF</t>
        </is>
      </c>
    </row>
    <row r="60">
      <c r="A60" s="5" t="inlineStr">
        <is>
          <t>Trim &amp; Millwork Subtotal</t>
        </is>
      </c>
      <c r="F60" s="22" t="n">
        <v>608</v>
      </c>
    </row>
    <row r="61"/>
    <row r="62">
      <c r="A62" s="17" t="inlineStr">
        <is>
          <t>HVAC</t>
        </is>
      </c>
    </row>
    <row r="63">
      <c r="A63" s="8" t="inlineStr">
        <is>
          <t>A/C condenser — replace (R-22 to R-410A)</t>
        </is>
      </c>
      <c r="B63" s="18" t="inlineStr">
        <is>
          <t>X</t>
        </is>
      </c>
      <c r="C63" s="8" t="n">
        <v>1</v>
      </c>
      <c r="D63" s="8" t="inlineStr">
        <is>
          <t>EA</t>
        </is>
      </c>
      <c r="E63" s="19" t="n">
        <v>2800</v>
      </c>
      <c r="F63" s="19" t="n">
        <v>2800</v>
      </c>
      <c r="G63" s="8" t="inlineStr">
        <is>
          <t>R-22 refrigerant phased out. Existing unit cannot be serviced. Furnace is new (2024) — no work needed.</t>
        </is>
      </c>
    </row>
    <row r="64">
      <c r="A64" s="5" t="inlineStr">
        <is>
          <t>HVAC Subtotal</t>
        </is>
      </c>
      <c r="F64" s="22" t="n">
        <v>2800</v>
      </c>
    </row>
    <row r="65"/>
    <row r="66">
      <c r="A66" s="17" t="inlineStr">
        <is>
          <t>APPLIANCES</t>
        </is>
      </c>
    </row>
    <row r="67">
      <c r="A67" s="8" t="inlineStr">
        <is>
          <t>SS Refrigerator</t>
        </is>
      </c>
      <c r="B67" s="18" t="inlineStr">
        <is>
          <t>X</t>
        </is>
      </c>
      <c r="C67" s="8" t="n">
        <v>1</v>
      </c>
      <c r="D67" s="8" t="inlineStr">
        <is>
          <t>EA</t>
        </is>
      </c>
      <c r="E67" s="19" t="n">
        <v>1400</v>
      </c>
      <c r="F67" s="19" t="n">
        <v>1400</v>
      </c>
      <c r="G67" s="8" t="inlineStr">
        <is>
          <t>Stainless steel, standard size</t>
        </is>
      </c>
    </row>
    <row r="68">
      <c r="A68" s="9" t="inlineStr">
        <is>
          <t>SS Dishwasher</t>
        </is>
      </c>
      <c r="B68" s="20" t="inlineStr">
        <is>
          <t>X</t>
        </is>
      </c>
      <c r="C68" s="9" t="n">
        <v>1</v>
      </c>
      <c r="D68" s="9" t="inlineStr">
        <is>
          <t>EA</t>
        </is>
      </c>
      <c r="E68" s="21" t="n">
        <v>550</v>
      </c>
      <c r="F68" s="21" t="n">
        <v>550</v>
      </c>
      <c r="G68" s="9" t="inlineStr">
        <is>
          <t>No existing dishwasher — new install</t>
        </is>
      </c>
    </row>
    <row r="69">
      <c r="A69" s="8" t="inlineStr">
        <is>
          <t>SS Range/Stove</t>
        </is>
      </c>
      <c r="B69" s="18" t="inlineStr">
        <is>
          <t>X</t>
        </is>
      </c>
      <c r="C69" s="8" t="n">
        <v>1</v>
      </c>
      <c r="D69" s="8" t="inlineStr">
        <is>
          <t>EA</t>
        </is>
      </c>
      <c r="E69" s="19" t="n">
        <v>700</v>
      </c>
      <c r="F69" s="19" t="n">
        <v>700</v>
      </c>
      <c r="G69" s="8" t="inlineStr">
        <is>
          <t>Gas or electric per existing hookup</t>
        </is>
      </c>
    </row>
    <row r="70">
      <c r="A70" s="9" t="inlineStr">
        <is>
          <t>SS Microwave (over-the-range)</t>
        </is>
      </c>
      <c r="B70" s="20" t="inlineStr">
        <is>
          <t>X</t>
        </is>
      </c>
      <c r="C70" s="9" t="n">
        <v>1</v>
      </c>
      <c r="D70" s="9" t="inlineStr">
        <is>
          <t>EA</t>
        </is>
      </c>
      <c r="E70" s="21" t="n">
        <v>300</v>
      </c>
      <c r="F70" s="21" t="n">
        <v>300</v>
      </c>
      <c r="G70" s="9" t="inlineStr">
        <is>
          <t>Stainless, vented</t>
        </is>
      </c>
    </row>
    <row r="71">
      <c r="A71" s="5" t="inlineStr">
        <is>
          <t>Appliances Subtotal</t>
        </is>
      </c>
      <c r="F71" s="22" t="n">
        <v>2950</v>
      </c>
    </row>
    <row r="72"/>
    <row r="73">
      <c r="A73" s="17" t="inlineStr">
        <is>
          <t>EXTERIOR</t>
        </is>
      </c>
    </row>
    <row r="74">
      <c r="A74" s="8" t="inlineStr">
        <is>
          <t>Tuckpointing (brick repair)</t>
        </is>
      </c>
      <c r="B74" s="18" t="inlineStr">
        <is>
          <t>X</t>
        </is>
      </c>
      <c r="C74" s="8" t="n">
        <v>1</v>
      </c>
      <c r="D74" s="8" t="inlineStr">
        <is>
          <t>EA</t>
        </is>
      </c>
      <c r="E74" s="19" t="n">
        <v>325</v>
      </c>
      <c r="F74" s="19" t="n">
        <v>325</v>
      </c>
      <c r="G74" s="8" t="inlineStr">
        <is>
          <t>Spot repair where mortar is deteriorated</t>
        </is>
      </c>
    </row>
    <row r="75">
      <c r="A75" s="9" t="inlineStr">
        <is>
          <t>Gutter repair</t>
        </is>
      </c>
      <c r="B75" s="20" t="inlineStr">
        <is>
          <t>X</t>
        </is>
      </c>
      <c r="C75" s="9" t="n">
        <v>1</v>
      </c>
      <c r="D75" s="9" t="inlineStr">
        <is>
          <t>EA</t>
        </is>
      </c>
      <c r="E75" s="21" t="n">
        <v>125</v>
      </c>
      <c r="F75" s="21" t="n">
        <v>125</v>
      </c>
      <c r="G75" s="9" t="inlineStr">
        <is>
          <t>Repair damaged sections</t>
        </is>
      </c>
    </row>
    <row r="76">
      <c r="A76" s="8" t="inlineStr">
        <is>
          <t>Soffit repairs (major)</t>
        </is>
      </c>
      <c r="B76" s="18" t="inlineStr">
        <is>
          <t>X</t>
        </is>
      </c>
      <c r="C76" s="8" t="n">
        <v>1</v>
      </c>
      <c r="D76" s="8" t="inlineStr">
        <is>
          <t>EA</t>
        </is>
      </c>
      <c r="E76" s="19" t="n">
        <v>800</v>
      </c>
      <c r="F76" s="19" t="n">
        <v>800</v>
      </c>
      <c r="G76" s="8" t="inlineStr">
        <is>
          <t>Multiple sections with damage</t>
        </is>
      </c>
    </row>
    <row r="77">
      <c r="A77" s="9" t="inlineStr">
        <is>
          <t>Paint front step</t>
        </is>
      </c>
      <c r="B77" s="20" t="inlineStr">
        <is>
          <t>X</t>
        </is>
      </c>
      <c r="C77" s="9" t="n">
        <v>1</v>
      </c>
      <c r="D77" s="9" t="inlineStr">
        <is>
          <t>EA</t>
        </is>
      </c>
      <c r="E77" s="21" t="n">
        <v>50</v>
      </c>
      <c r="F77" s="21" t="n">
        <v>50</v>
      </c>
      <c r="G77" s="9" t="inlineStr">
        <is>
          <t>Curb appeal touch-up</t>
        </is>
      </c>
    </row>
    <row r="78">
      <c r="A78" s="8" t="inlineStr">
        <is>
          <t>Paint exterior door</t>
        </is>
      </c>
      <c r="B78" s="18" t="inlineStr">
        <is>
          <t>X</t>
        </is>
      </c>
      <c r="C78" s="8" t="n">
        <v>1</v>
      </c>
      <c r="D78" s="8" t="inlineStr">
        <is>
          <t>EA</t>
        </is>
      </c>
      <c r="E78" s="19" t="n">
        <v>125</v>
      </c>
      <c r="F78" s="19" t="n">
        <v>125</v>
      </c>
      <c r="G78" s="8" t="inlineStr">
        <is>
          <t>Front entry door refresh</t>
        </is>
      </c>
    </row>
    <row r="79">
      <c r="A79" s="5" t="inlineStr">
        <is>
          <t>Exterior Subtotal</t>
        </is>
      </c>
      <c r="F79" s="22" t="n">
        <v>1425</v>
      </c>
    </row>
    <row r="80"/>
    <row r="81">
      <c r="A81" s="17" t="inlineStr">
        <is>
          <t>LANDSCAPING &amp; CLEANUP</t>
        </is>
      </c>
    </row>
    <row r="82">
      <c r="A82" s="8" t="inlineStr">
        <is>
          <t>Basic cleanup &amp; mulch</t>
        </is>
      </c>
      <c r="B82" s="18" t="inlineStr">
        <is>
          <t>X</t>
        </is>
      </c>
      <c r="C82" s="8" t="n">
        <v>1</v>
      </c>
      <c r="D82" s="8" t="inlineStr">
        <is>
          <t>EA</t>
        </is>
      </c>
      <c r="E82" s="19" t="n">
        <v>500</v>
      </c>
      <c r="F82" s="19" t="n">
        <v>500</v>
      </c>
      <c r="G82" s="8" t="inlineStr">
        <is>
          <t>Trim, edge beds, fresh mulch</t>
        </is>
      </c>
    </row>
    <row r="83">
      <c r="A83" s="9" t="inlineStr">
        <is>
          <t>Power wash (house + concrete)</t>
        </is>
      </c>
      <c r="B83" s="20" t="inlineStr">
        <is>
          <t>X</t>
        </is>
      </c>
      <c r="C83" s="9" t="n">
        <v>1</v>
      </c>
      <c r="D83" s="9" t="inlineStr">
        <is>
          <t>EA</t>
        </is>
      </c>
      <c r="E83" s="21" t="n">
        <v>300</v>
      </c>
      <c r="F83" s="21" t="n">
        <v>300</v>
      </c>
      <c r="G83" s="9" t="inlineStr">
        <is>
          <t>Full exterior, driveway, walkways</t>
        </is>
      </c>
    </row>
    <row r="84">
      <c r="A84" s="8" t="inlineStr">
        <is>
          <t>Post-renovation cleanup</t>
        </is>
      </c>
      <c r="B84" s="18" t="inlineStr">
        <is>
          <t>X</t>
        </is>
      </c>
      <c r="C84" s="8" t="n">
        <v>1</v>
      </c>
      <c r="D84" s="8" t="inlineStr">
        <is>
          <t>EA</t>
        </is>
      </c>
      <c r="E84" s="19" t="n">
        <v>1000</v>
      </c>
      <c r="F84" s="19" t="n">
        <v>1000</v>
      </c>
      <c r="G84" s="8" t="inlineStr">
        <is>
          <t>Professional construction cleanup</t>
        </is>
      </c>
    </row>
    <row r="85">
      <c r="A85" s="5" t="inlineStr">
        <is>
          <t>Landscaping &amp; Cleanup Subtotal</t>
        </is>
      </c>
      <c r="F85" s="22" t="n">
        <v>1800</v>
      </c>
    </row>
    <row r="86"/>
    <row r="87"/>
    <row r="88">
      <c r="A88" s="23" t="inlineStr">
        <is>
          <t>ESTIMATE TOTALS</t>
        </is>
      </c>
      <c r="B88" s="24" t="n"/>
      <c r="C88" s="24" t="n"/>
      <c r="D88" s="24" t="n"/>
      <c r="E88" s="24" t="n"/>
      <c r="F88" s="24" t="n"/>
      <c r="G88" s="24" t="n"/>
    </row>
    <row r="89">
      <c r="A89" s="5" t="inlineStr">
        <is>
          <t>Subtotal</t>
        </is>
      </c>
      <c r="F89" s="25" t="n">
        <v>57617</v>
      </c>
    </row>
    <row r="90">
      <c r="A90" s="5" t="inlineStr">
        <is>
          <t>Contingency (10%)</t>
        </is>
      </c>
      <c r="F90" s="25" t="n">
        <v>5762</v>
      </c>
    </row>
    <row r="91">
      <c r="A91" s="26" t="inlineStr">
        <is>
          <t>GRAND TOTAL</t>
        </is>
      </c>
      <c r="F91" s="27" t="n">
        <v>63379</v>
      </c>
    </row>
    <row r="92"/>
    <row r="93">
      <c r="A93" s="5" t="inlineStr">
        <is>
          <t>Cost per SF</t>
        </is>
      </c>
      <c r="F93" s="28" t="n">
        <v>33.5</v>
      </c>
    </row>
  </sheetData>
  <mergeCells count="18">
    <mergeCell ref="A32:G32"/>
    <mergeCell ref="A66:G66"/>
    <mergeCell ref="A1:G1"/>
    <mergeCell ref="A17:G17"/>
    <mergeCell ref="A81:G81"/>
    <mergeCell ref="A88:G88"/>
    <mergeCell ref="A3:G3"/>
    <mergeCell ref="A22:G22"/>
    <mergeCell ref="A53:G53"/>
    <mergeCell ref="A12:G12"/>
    <mergeCell ref="A4:G4"/>
    <mergeCell ref="A62:G62"/>
    <mergeCell ref="A38:G38"/>
    <mergeCell ref="A2:G2"/>
    <mergeCell ref="A7:G7"/>
    <mergeCell ref="A57:G57"/>
    <mergeCell ref="A73:G73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DATASIFT WHOLETAIL ESTIMATE</t>
        </is>
      </c>
    </row>
    <row r="2">
      <c r="A2" s="3" t="inlineStr">
        <is>
          <t>Local Pricing: Dayton, OH | Multiplier: 0.82x National</t>
        </is>
      </c>
    </row>
    <row r="3">
      <c r="A3" s="15" t="inlineStr">
        <is>
          <t>Property: 5532 Joyce Ann Dr | 1,892 SF | Finish: Builder to Mid Grade</t>
        </is>
      </c>
    </row>
    <row r="4">
      <c r="A4" s="16" t="inlineStr">
        <is>
          <t>Mark "X" in Include column to add item to estimate. Totals auto-calculate.</t>
        </is>
      </c>
    </row>
    <row r="5"/>
    <row r="6">
      <c r="A6" s="7" t="inlineStr">
        <is>
          <t>Repair Item</t>
        </is>
      </c>
      <c r="B6" s="7" t="inlineStr">
        <is>
          <t>Include?</t>
        </is>
      </c>
      <c r="C6" s="7" t="inlineStr">
        <is>
          <t>Qty</t>
        </is>
      </c>
      <c r="D6" s="7" t="inlineStr">
        <is>
          <t>Unit</t>
        </is>
      </c>
      <c r="E6" s="7" t="inlineStr">
        <is>
          <t>$/Unit</t>
        </is>
      </c>
      <c r="F6" s="7" t="inlineStr">
        <is>
          <t>Total</t>
        </is>
      </c>
      <c r="G6" s="7" t="inlineStr">
        <is>
          <t>Notes</t>
        </is>
      </c>
    </row>
    <row r="7">
      <c r="A7" s="17" t="inlineStr">
        <is>
          <t>PAINT</t>
        </is>
      </c>
    </row>
    <row r="8">
      <c r="A8" s="8" t="inlineStr">
        <is>
          <t>Interior paint — single neutral color (walls + trim)</t>
        </is>
      </c>
      <c r="B8" s="18" t="inlineStr">
        <is>
          <t>X</t>
        </is>
      </c>
      <c r="C8" s="8" t="n">
        <v>2100</v>
      </c>
      <c r="D8" s="8" t="inlineStr">
        <is>
          <t>SF</t>
        </is>
      </c>
      <c r="E8" s="19" t="n">
        <v>2.5</v>
      </c>
      <c r="F8" s="19" t="n">
        <v>5250</v>
      </c>
      <c r="G8" s="8" t="inlineStr">
        <is>
          <t>One coat, single neutral color throughout. Biggest ROI item for wholetail.</t>
        </is>
      </c>
    </row>
    <row r="9">
      <c r="A9" s="5" t="inlineStr">
        <is>
          <t>Paint Subtotal</t>
        </is>
      </c>
      <c r="F9" s="22" t="n">
        <v>5250</v>
      </c>
    </row>
    <row r="10"/>
    <row r="11">
      <c r="A11" s="17" t="inlineStr">
        <is>
          <t>FLOORING</t>
        </is>
      </c>
    </row>
    <row r="12">
      <c r="A12" s="8" t="inlineStr">
        <is>
          <t>LVP — worst areas only (kitchen, main hall)</t>
        </is>
      </c>
      <c r="B12" s="18" t="inlineStr">
        <is>
          <t>X</t>
        </is>
      </c>
      <c r="C12" s="8" t="n">
        <v>400</v>
      </c>
      <c r="D12" s="8" t="inlineStr">
        <is>
          <t>SF</t>
        </is>
      </c>
      <c r="E12" s="19" t="n">
        <v>5.5</v>
      </c>
      <c r="F12" s="19" t="n">
        <v>2200</v>
      </c>
      <c r="G12" s="8" t="inlineStr">
        <is>
          <t>Only where flooring is visibly damaged/stained</t>
        </is>
      </c>
    </row>
    <row r="13">
      <c r="A13" s="9" t="inlineStr">
        <is>
          <t>Carpet deep clean (bedrooms)</t>
        </is>
      </c>
      <c r="B13" s="20" t="inlineStr">
        <is>
          <t>X</t>
        </is>
      </c>
      <c r="C13" s="9" t="n">
        <v>480</v>
      </c>
      <c r="D13" s="9" t="inlineStr">
        <is>
          <t>SF</t>
        </is>
      </c>
      <c r="E13" s="21" t="n">
        <v>0.4</v>
      </c>
      <c r="F13" s="21" t="n">
        <v>192</v>
      </c>
      <c r="G13" s="9" t="inlineStr">
        <is>
          <t>Professional steam clean existing carpet</t>
        </is>
      </c>
    </row>
    <row r="14">
      <c r="A14" s="5" t="inlineStr">
        <is>
          <t>Flooring Subtotal</t>
        </is>
      </c>
      <c r="F14" s="22" t="n">
        <v>2392</v>
      </c>
    </row>
    <row r="15"/>
    <row r="16">
      <c r="A16" s="17" t="inlineStr">
        <is>
          <t>BATHROOMS</t>
        </is>
      </c>
    </row>
    <row r="17">
      <c r="A17" s="8" t="inlineStr">
        <is>
          <t>Bathroom clean, caulk, minor repairs</t>
        </is>
      </c>
      <c r="B17" s="18" t="inlineStr">
        <is>
          <t>X</t>
        </is>
      </c>
      <c r="C17" s="8" t="n">
        <v>2</v>
      </c>
      <c r="D17" s="8" t="inlineStr">
        <is>
          <t>EA</t>
        </is>
      </c>
      <c r="E17" s="19" t="n">
        <v>400</v>
      </c>
      <c r="F17" s="19" t="n">
        <v>800</v>
      </c>
      <c r="G17" s="8" t="inlineStr">
        <is>
          <t>Deep clean, fresh caulk, tighten fixtures. No remodel.</t>
        </is>
      </c>
    </row>
    <row r="18">
      <c r="A18" s="9" t="inlineStr">
        <is>
          <t>Hall bath ceiling drywall repair</t>
        </is>
      </c>
      <c r="B18" s="20" t="inlineStr">
        <is>
          <t>X</t>
        </is>
      </c>
      <c r="C18" s="9" t="n">
        <v>1</v>
      </c>
      <c r="D18" s="9" t="inlineStr">
        <is>
          <t>EA</t>
        </is>
      </c>
      <c r="E18" s="21" t="n">
        <v>500</v>
      </c>
      <c r="F18" s="21" t="n">
        <v>500</v>
      </c>
      <c r="G18" s="9" t="inlineStr">
        <is>
          <t>Remove OSB patches, proper drywall repair — safety/appearance issue</t>
        </is>
      </c>
    </row>
    <row r="19">
      <c r="A19" s="5" t="inlineStr">
        <is>
          <t>Bathrooms Subtotal</t>
        </is>
      </c>
      <c r="F19" s="22" t="n">
        <v>1300</v>
      </c>
    </row>
    <row r="20"/>
    <row r="21">
      <c r="A21" s="17" t="inlineStr">
        <is>
          <t>DRYWALL</t>
        </is>
      </c>
    </row>
    <row r="22">
      <c r="A22" s="8" t="inlineStr">
        <is>
          <t>Drywall patches (visible holes only)</t>
        </is>
      </c>
      <c r="B22" s="18" t="inlineStr">
        <is>
          <t>X</t>
        </is>
      </c>
      <c r="C22" s="8" t="n">
        <v>3</v>
      </c>
      <c r="D22" s="8" t="inlineStr">
        <is>
          <t>EA</t>
        </is>
      </c>
      <c r="E22" s="19" t="n">
        <v>150</v>
      </c>
      <c r="F22" s="19" t="n">
        <v>450</v>
      </c>
      <c r="G22" s="8" t="inlineStr">
        <is>
          <t>Quick patch visible damage only</t>
        </is>
      </c>
    </row>
    <row r="23">
      <c r="A23" s="5" t="inlineStr">
        <is>
          <t>Drywall Subtotal</t>
        </is>
      </c>
      <c r="F23" s="22" t="n">
        <v>450</v>
      </c>
    </row>
    <row r="24"/>
    <row r="25">
      <c r="A25" s="17" t="inlineStr">
        <is>
          <t>EXTERIOR</t>
        </is>
      </c>
    </row>
    <row r="26">
      <c r="A26" s="8" t="inlineStr">
        <is>
          <t>Tuckpointing (brick repair)</t>
        </is>
      </c>
      <c r="B26" s="18" t="inlineStr">
        <is>
          <t>X</t>
        </is>
      </c>
      <c r="C26" s="8" t="n">
        <v>1</v>
      </c>
      <c r="D26" s="8" t="inlineStr">
        <is>
          <t>EA</t>
        </is>
      </c>
      <c r="E26" s="19" t="n">
        <v>325</v>
      </c>
      <c r="F26" s="19" t="n">
        <v>325</v>
      </c>
      <c r="G26" s="8" t="inlineStr">
        <is>
          <t>Safety and appearance</t>
        </is>
      </c>
    </row>
    <row r="27">
      <c r="A27" s="9" t="inlineStr">
        <is>
          <t>Paint front step</t>
        </is>
      </c>
      <c r="B27" s="20" t="inlineStr">
        <is>
          <t>X</t>
        </is>
      </c>
      <c r="C27" s="9" t="n">
        <v>1</v>
      </c>
      <c r="D27" s="9" t="inlineStr">
        <is>
          <t>EA</t>
        </is>
      </c>
      <c r="E27" s="21" t="n">
        <v>50</v>
      </c>
      <c r="F27" s="21" t="n">
        <v>50</v>
      </c>
      <c r="G27" s="9" t="inlineStr">
        <is>
          <t>Quick curb appeal fix</t>
        </is>
      </c>
    </row>
    <row r="28">
      <c r="A28" s="5" t="inlineStr">
        <is>
          <t>Exterior Subtotal</t>
        </is>
      </c>
      <c r="F28" s="22" t="n">
        <v>375</v>
      </c>
    </row>
    <row r="29"/>
    <row r="30">
      <c r="A30" s="17" t="inlineStr">
        <is>
          <t>LANDSCAPING &amp; CLEANUP</t>
        </is>
      </c>
    </row>
    <row r="31">
      <c r="A31" s="8" t="inlineStr">
        <is>
          <t>Deep clean (full house)</t>
        </is>
      </c>
      <c r="B31" s="18" t="inlineStr">
        <is>
          <t>X</t>
        </is>
      </c>
      <c r="C31" s="8" t="n">
        <v>1</v>
      </c>
      <c r="D31" s="8" t="inlineStr">
        <is>
          <t>EA</t>
        </is>
      </c>
      <c r="E31" s="19" t="n">
        <v>500</v>
      </c>
      <c r="F31" s="19" t="n">
        <v>500</v>
      </c>
      <c r="G31" s="8" t="inlineStr">
        <is>
          <t>Professional cleaning — this is where wholetail magic happens</t>
        </is>
      </c>
    </row>
    <row r="32">
      <c r="A32" s="9" t="inlineStr">
        <is>
          <t>Power wash (house + concrete)</t>
        </is>
      </c>
      <c r="B32" s="20" t="inlineStr">
        <is>
          <t>X</t>
        </is>
      </c>
      <c r="C32" s="9" t="n">
        <v>1</v>
      </c>
      <c r="D32" s="9" t="inlineStr">
        <is>
          <t>EA</t>
        </is>
      </c>
      <c r="E32" s="21" t="n">
        <v>300</v>
      </c>
      <c r="F32" s="21" t="n">
        <v>300</v>
      </c>
      <c r="G32" s="9" t="inlineStr">
        <is>
          <t>Exterior, driveway, walkways</t>
        </is>
      </c>
    </row>
    <row r="33">
      <c r="A33" s="8" t="inlineStr">
        <is>
          <t>Mow, trim, basic landscaping</t>
        </is>
      </c>
      <c r="B33" s="18" t="inlineStr">
        <is>
          <t>X</t>
        </is>
      </c>
      <c r="C33" s="8" t="n">
        <v>1</v>
      </c>
      <c r="D33" s="8" t="inlineStr">
        <is>
          <t>EA</t>
        </is>
      </c>
      <c r="E33" s="19" t="n">
        <v>250</v>
      </c>
      <c r="F33" s="19" t="n">
        <v>250</v>
      </c>
      <c r="G33" s="8" t="inlineStr">
        <is>
          <t>Basic curb appeal</t>
        </is>
      </c>
    </row>
    <row r="34">
      <c r="A34" s="5" t="inlineStr">
        <is>
          <t>Landscaping &amp; Cleanup Subtotal</t>
        </is>
      </c>
      <c r="F34" s="22" t="n">
        <v>1050</v>
      </c>
    </row>
    <row r="35"/>
    <row r="36"/>
    <row r="37">
      <c r="A37" s="23" t="inlineStr">
        <is>
          <t>ESTIMATE TOTALS</t>
        </is>
      </c>
      <c r="B37" s="24" t="n"/>
      <c r="C37" s="24" t="n"/>
      <c r="D37" s="24" t="n"/>
      <c r="E37" s="24" t="n"/>
      <c r="F37" s="24" t="n"/>
      <c r="G37" s="24" t="n"/>
    </row>
    <row r="38">
      <c r="A38" s="5" t="inlineStr">
        <is>
          <t>Subtotal</t>
        </is>
      </c>
      <c r="F38" s="25" t="n">
        <v>10817</v>
      </c>
    </row>
    <row r="39">
      <c r="A39" s="5" t="inlineStr">
        <is>
          <t>Contingency (5%)</t>
        </is>
      </c>
      <c r="F39" s="25" t="n">
        <v>541</v>
      </c>
    </row>
    <row r="40">
      <c r="A40" s="26" t="inlineStr">
        <is>
          <t>GRAND TOTAL</t>
        </is>
      </c>
      <c r="F40" s="27" t="n">
        <v>11358</v>
      </c>
    </row>
    <row r="41"/>
    <row r="42">
      <c r="A42" s="5" t="inlineStr">
        <is>
          <t>Cost per SF</t>
        </is>
      </c>
      <c r="F42" s="28" t="n">
        <v>6</v>
      </c>
    </row>
  </sheetData>
  <mergeCells count="11">
    <mergeCell ref="A1:G1"/>
    <mergeCell ref="A3:G3"/>
    <mergeCell ref="A21:G21"/>
    <mergeCell ref="A4:G4"/>
    <mergeCell ref="A30:G30"/>
    <mergeCell ref="A2:G2"/>
    <mergeCell ref="A16:G16"/>
    <mergeCell ref="A7:G7"/>
    <mergeCell ref="A25:G25"/>
    <mergeCell ref="A11:G11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11" customWidth="1" min="3" max="3"/>
    <col width="40" customWidth="1" min="4" max="4"/>
    <col width="25" customWidth="1" min="5" max="5"/>
    <col width="25" customWidth="1" min="6" max="6"/>
  </cols>
  <sheetData>
    <row r="1">
      <c r="A1" s="1" t="inlineStr">
        <is>
          <t>PROPERTY CONDITION ASSESSMENT</t>
        </is>
      </c>
    </row>
    <row r="2">
      <c r="A2" s="2" t="inlineStr">
        <is>
          <t>5532 Joyce Ann Dr, Dayton, OH 45415</t>
        </is>
      </c>
    </row>
    <row r="3"/>
    <row r="4">
      <c r="A4" s="7" t="inlineStr">
        <is>
          <t>Category</t>
        </is>
      </c>
      <c r="B4" s="7" t="inlineStr">
        <is>
          <t>Item</t>
        </is>
      </c>
      <c r="C4" s="7" t="inlineStr">
        <is>
          <t>Condition</t>
        </is>
      </c>
      <c r="D4" s="7" t="inlineStr">
        <is>
          <t>Notes</t>
        </is>
      </c>
      <c r="E4" s="7" t="inlineStr">
        <is>
          <t>Rehab Action</t>
        </is>
      </c>
      <c r="F4" s="7" t="inlineStr">
        <is>
          <t>Wholetail Action</t>
        </is>
      </c>
    </row>
    <row r="5">
      <c r="A5" s="29" t="inlineStr">
        <is>
          <t>EXTERIOR</t>
        </is>
      </c>
    </row>
    <row r="6">
      <c r="A6" s="8" t="inlineStr"/>
      <c r="B6" s="8" t="inlineStr">
        <is>
          <t>Roof (Shingle)</t>
        </is>
      </c>
      <c r="C6" s="30" t="inlineStr">
        <is>
          <t>Poor</t>
        </is>
      </c>
      <c r="D6" s="8" t="inlineStr">
        <is>
          <t>10+ years old, inspector rated Poor. Needs professional inspection.</t>
        </is>
      </c>
      <c r="E6" s="8" t="inlineStr">
        <is>
          <t>Budget for replacement (separate from contractor SOW)</t>
        </is>
      </c>
      <c r="F6" s="8" t="inlineStr">
        <is>
          <t>Inspect; repair if actively leaking</t>
        </is>
      </c>
    </row>
    <row r="7">
      <c r="A7" s="9" t="inlineStr"/>
      <c r="B7" s="9" t="inlineStr">
        <is>
          <t>Brick Siding</t>
        </is>
      </c>
      <c r="C7" s="31" t="inlineStr">
        <is>
          <t>Good</t>
        </is>
      </c>
      <c r="D7" s="9" t="inlineStr">
        <is>
          <t>Solid brick ranch, minor tuckpointing needed in spots</t>
        </is>
      </c>
      <c r="E7" s="9" t="inlineStr">
        <is>
          <t>Tuckpointing repair</t>
        </is>
      </c>
      <c r="F7" s="9" t="inlineStr">
        <is>
          <t>Tuckpointing repair</t>
        </is>
      </c>
    </row>
    <row r="8">
      <c r="A8" s="8" t="inlineStr"/>
      <c r="B8" s="8" t="inlineStr">
        <is>
          <t>Windows (Vinyl)</t>
        </is>
      </c>
      <c r="C8" s="32" t="inlineStr">
        <is>
          <t>Fair</t>
        </is>
      </c>
      <c r="D8" s="8" t="inlineStr">
        <is>
          <t>Vinyl windows, functional but dated. No visible failures or fogging.</t>
        </is>
      </c>
      <c r="E8" s="8" t="inlineStr">
        <is>
          <t>Replace all windows for energy efficiency and curb appeal</t>
        </is>
      </c>
      <c r="F8" s="8" t="inlineStr">
        <is>
          <t>Leave as-is unless broken</t>
        </is>
      </c>
    </row>
    <row r="9">
      <c r="A9" s="9" t="inlineStr"/>
      <c r="B9" s="9" t="inlineStr">
        <is>
          <t>Gutters</t>
        </is>
      </c>
      <c r="C9" s="32" t="inlineStr">
        <is>
          <t>Fair</t>
        </is>
      </c>
      <c r="D9" s="9" t="inlineStr">
        <is>
          <t>Present and functional, some sections need repair</t>
        </is>
      </c>
      <c r="E9" s="9" t="inlineStr">
        <is>
          <t>Repair damaged sections</t>
        </is>
      </c>
      <c r="F9" s="9" t="inlineStr">
        <is>
          <t>No action needed</t>
        </is>
      </c>
    </row>
    <row r="10">
      <c r="A10" s="8" t="inlineStr"/>
      <c r="B10" s="8" t="inlineStr">
        <is>
          <t>Soffit/Fascia</t>
        </is>
      </c>
      <c r="C10" s="32" t="inlineStr">
        <is>
          <t>Fair</t>
        </is>
      </c>
      <c r="D10" s="8" t="inlineStr">
        <is>
          <t>Some displaced vent covers, soffit damage visible at base</t>
        </is>
      </c>
      <c r="E10" s="8" t="inlineStr">
        <is>
          <t>Soffit repairs</t>
        </is>
      </c>
      <c r="F10" s="8" t="inlineStr">
        <is>
          <t>No action needed</t>
        </is>
      </c>
    </row>
    <row r="11">
      <c r="A11" s="9" t="inlineStr"/>
      <c r="B11" s="9" t="inlineStr">
        <is>
          <t>Fence (Wood)</t>
        </is>
      </c>
      <c r="C11" s="32" t="inlineStr">
        <is>
          <t>Fair</t>
        </is>
      </c>
      <c r="D11" s="9" t="inlineStr">
        <is>
          <t>Aging wooden privacy fence, functional but showing wear</t>
        </is>
      </c>
      <c r="E11" s="9" t="inlineStr">
        <is>
          <t>Leave as-is (not a deal-killer)</t>
        </is>
      </c>
      <c r="F11" s="9" t="inlineStr">
        <is>
          <t>Leave as-is</t>
        </is>
      </c>
    </row>
    <row r="12">
      <c r="A12" s="8" t="inlineStr"/>
      <c r="B12" s="8" t="inlineStr">
        <is>
          <t>Landscaping</t>
        </is>
      </c>
      <c r="C12" s="32" t="inlineStr">
        <is>
          <t>Fair</t>
        </is>
      </c>
      <c r="D12" s="8" t="inlineStr">
        <is>
          <t>Overgrown, needs cleanup and mulch</t>
        </is>
      </c>
      <c r="E12" s="8" t="inlineStr">
        <is>
          <t>Cleanup, mulch, edge, power wash</t>
        </is>
      </c>
      <c r="F12" s="8" t="inlineStr">
        <is>
          <t>Mow, trim, power wash</t>
        </is>
      </c>
    </row>
    <row r="13">
      <c r="A13" s="29" t="inlineStr">
        <is>
          <t>KITCHEN</t>
        </is>
      </c>
    </row>
    <row r="14">
      <c r="A14" s="9" t="inlineStr"/>
      <c r="B14" s="9" t="inlineStr">
        <is>
          <t>Cabinets</t>
        </is>
      </c>
      <c r="C14" s="30" t="inlineStr">
        <is>
          <t>Poor</t>
        </is>
      </c>
      <c r="D14" s="9" t="inlineStr">
        <is>
          <t>Original 1960s cabinets, very dated. Not salvageable for a flip.</t>
        </is>
      </c>
      <c r="E14" s="9" t="inlineStr">
        <is>
          <t>Full rip &amp; replace with white shaker</t>
        </is>
      </c>
      <c r="F14" s="9" t="inlineStr">
        <is>
          <t>Clean only</t>
        </is>
      </c>
    </row>
    <row r="15">
      <c r="A15" s="8" t="inlineStr"/>
      <c r="B15" s="8" t="inlineStr">
        <is>
          <t>Countertops (Formica)</t>
        </is>
      </c>
      <c r="C15" s="30" t="inlineStr">
        <is>
          <t>Poor</t>
        </is>
      </c>
      <c r="D15" s="8" t="inlineStr">
        <is>
          <t>Original laminate/Formica countertops, dated and worn</t>
        </is>
      </c>
      <c r="E15" s="8" t="inlineStr">
        <is>
          <t>Replace with granite</t>
        </is>
      </c>
      <c r="F15" s="8" t="inlineStr">
        <is>
          <t>Leave as-is</t>
        </is>
      </c>
    </row>
    <row r="16">
      <c r="A16" s="9" t="inlineStr"/>
      <c r="B16" s="9" t="inlineStr">
        <is>
          <t>Appliances</t>
        </is>
      </c>
      <c r="C16" s="30" t="inlineStr">
        <is>
          <t>Poor</t>
        </is>
      </c>
      <c r="D16" s="9" t="inlineStr">
        <is>
          <t>Dated appliances, no dishwasher installed</t>
        </is>
      </c>
      <c r="E16" s="9" t="inlineStr">
        <is>
          <t>Full SS appliance package (fridge, stove, DW, microwave)</t>
        </is>
      </c>
      <c r="F16" s="9" t="inlineStr">
        <is>
          <t>Clean existing; leave as-is</t>
        </is>
      </c>
    </row>
    <row r="17">
      <c r="A17" s="8" t="inlineStr"/>
      <c r="B17" s="8" t="inlineStr">
        <is>
          <t>Flooring</t>
        </is>
      </c>
      <c r="C17" s="30" t="inlineStr">
        <is>
          <t>Poor</t>
        </is>
      </c>
      <c r="D17" s="8" t="inlineStr">
        <is>
          <t>Dated kitchen flooring, worn</t>
        </is>
      </c>
      <c r="E17" s="8" t="inlineStr">
        <is>
          <t>LVP throughout</t>
        </is>
      </c>
      <c r="F17" s="8" t="inlineStr">
        <is>
          <t>LVP if badly damaged</t>
        </is>
      </c>
    </row>
    <row r="18">
      <c r="A18" s="29" t="inlineStr">
        <is>
          <t>LIVING AREAS</t>
        </is>
      </c>
    </row>
    <row r="19">
      <c r="A19" s="9" t="inlineStr"/>
      <c r="B19" s="9" t="inlineStr">
        <is>
          <t>Flooring (Parquet/Mixed)</t>
        </is>
      </c>
      <c r="C19" s="30" t="inlineStr">
        <is>
          <t>Poor</t>
        </is>
      </c>
      <c r="D19" s="9" t="inlineStr">
        <is>
          <t>Worn parquet flooring in living areas, showing significant wear</t>
        </is>
      </c>
      <c r="E19" s="9" t="inlineStr">
        <is>
          <t>LVP throughout main living areas</t>
        </is>
      </c>
      <c r="F19" s="9" t="inlineStr">
        <is>
          <t>LVP in worst areas only</t>
        </is>
      </c>
    </row>
    <row r="20">
      <c r="A20" s="8" t="inlineStr"/>
      <c r="B20" s="8" t="inlineStr">
        <is>
          <t>Walls/Paint</t>
        </is>
      </c>
      <c r="C20" s="30" t="inlineStr">
        <is>
          <t>Poor</t>
        </is>
      </c>
      <c r="D20" s="8" t="inlineStr">
        <is>
          <t>Dark accent walls, dated colors, wall damage and cracks visible</t>
        </is>
      </c>
      <c r="E20" s="8" t="inlineStr">
        <is>
          <t>Full repaint (Agreeable Gray)</t>
        </is>
      </c>
      <c r="F20" s="8" t="inlineStr">
        <is>
          <t>Full repaint (single neutral)</t>
        </is>
      </c>
    </row>
    <row r="21">
      <c r="A21" s="9" t="inlineStr"/>
      <c r="B21" s="9" t="inlineStr">
        <is>
          <t>Ceilings</t>
        </is>
      </c>
      <c r="C21" s="32" t="inlineStr">
        <is>
          <t>Fair</t>
        </is>
      </c>
      <c r="D21" s="9" t="inlineStr">
        <is>
          <t>Textured/popcorn ceilings with visible cracks in some areas</t>
        </is>
      </c>
      <c r="E21" s="9" t="inlineStr">
        <is>
          <t>Paint over (removal too expensive for ROI in this market)</t>
        </is>
      </c>
      <c r="F21" s="9" t="inlineStr">
        <is>
          <t>Leave as-is</t>
        </is>
      </c>
    </row>
    <row r="22">
      <c r="A22" s="8" t="inlineStr"/>
      <c r="B22" s="8" t="inlineStr">
        <is>
          <t>Light Fixtures</t>
        </is>
      </c>
      <c r="C22" s="30" t="inlineStr">
        <is>
          <t>Poor</t>
        </is>
      </c>
      <c r="D22" s="8" t="inlineStr">
        <is>
          <t>Dated ceiling fans, brass fixtures, dome lights throughout</t>
        </is>
      </c>
      <c r="E22" s="8" t="inlineStr">
        <is>
          <t>Replace all with modern flush mounts</t>
        </is>
      </c>
      <c r="F22" s="8" t="inlineStr">
        <is>
          <t>Leave as-is</t>
        </is>
      </c>
    </row>
    <row r="23">
      <c r="A23" s="9" t="inlineStr"/>
      <c r="B23" s="9" t="inlineStr">
        <is>
          <t>Window Treatments</t>
        </is>
      </c>
      <c r="C23" s="30" t="inlineStr">
        <is>
          <t>Poor</t>
        </is>
      </c>
      <c r="D23" s="9" t="inlineStr">
        <is>
          <t>Vertical blinds, dated</t>
        </is>
      </c>
      <c r="E23" s="9" t="inlineStr">
        <is>
          <t>Remove (leave windows bare for showing)</t>
        </is>
      </c>
      <c r="F23" s="9" t="inlineStr">
        <is>
          <t>Leave as-is</t>
        </is>
      </c>
    </row>
    <row r="24">
      <c r="A24" s="29" t="inlineStr">
        <is>
          <t>BEDROOMS</t>
        </is>
      </c>
    </row>
    <row r="25">
      <c r="A25" s="8" t="inlineStr"/>
      <c r="B25" s="8" t="inlineStr">
        <is>
          <t>Flooring (Carpet/Parquet)</t>
        </is>
      </c>
      <c r="C25" s="32" t="inlineStr">
        <is>
          <t>Fair</t>
        </is>
      </c>
      <c r="D25" s="8" t="inlineStr">
        <is>
          <t>Mix of worn carpet and parquet in bedrooms</t>
        </is>
      </c>
      <c r="E25" s="8" t="inlineStr">
        <is>
          <t>New carpet in all bedrooms</t>
        </is>
      </c>
      <c r="F25" s="8" t="inlineStr">
        <is>
          <t>Deep clean existing carpet</t>
        </is>
      </c>
    </row>
    <row r="26">
      <c r="A26" s="9" t="inlineStr"/>
      <c r="B26" s="9" t="inlineStr">
        <is>
          <t>Closet Doors (Bifold)</t>
        </is>
      </c>
      <c r="C26" s="32" t="inlineStr">
        <is>
          <t>Fair</t>
        </is>
      </c>
      <c r="D26" s="9" t="inlineStr">
        <is>
          <t>Dated bifold closet doors, functional</t>
        </is>
      </c>
      <c r="E26" s="9" t="inlineStr">
        <is>
          <t>Replace 1 damaged set with bypass</t>
        </is>
      </c>
      <c r="F26" s="9" t="inlineStr">
        <is>
          <t>Leave as-is</t>
        </is>
      </c>
    </row>
    <row r="27">
      <c r="A27" s="8" t="inlineStr"/>
      <c r="B27" s="8" t="inlineStr">
        <is>
          <t>Walls/Paint</t>
        </is>
      </c>
      <c r="C27" s="32" t="inlineStr">
        <is>
          <t>Fair</t>
        </is>
      </c>
      <c r="D27" s="8" t="inlineStr">
        <is>
          <t>Dated paint, some wall damage</t>
        </is>
      </c>
      <c r="E27" s="8" t="inlineStr">
        <is>
          <t>Included in whole-house repaint</t>
        </is>
      </c>
      <c r="F27" s="8" t="inlineStr">
        <is>
          <t>Included in whole-house repaint</t>
        </is>
      </c>
    </row>
    <row r="28">
      <c r="A28" s="29" t="inlineStr">
        <is>
          <t>BATHROOMS</t>
        </is>
      </c>
    </row>
    <row r="29">
      <c r="A29" s="9" t="inlineStr"/>
      <c r="B29" s="9" t="inlineStr">
        <is>
          <t>Hall Bathroom</t>
        </is>
      </c>
      <c r="C29" s="30" t="inlineStr">
        <is>
          <t>Poor</t>
        </is>
      </c>
      <c r="D29" s="9" t="inlineStr">
        <is>
          <t>Dated vanity, dated tile, ceiling has OSB patches from water damage repair. Pink fixtures.</t>
        </is>
      </c>
      <c r="E29" s="9" t="inlineStr">
        <is>
          <t>Full renovation + ceiling drywall repair</t>
        </is>
      </c>
      <c r="F29" s="9" t="inlineStr">
        <is>
          <t>Clean, caulk, fix ceiling drywall</t>
        </is>
      </c>
    </row>
    <row r="30">
      <c r="A30" s="8" t="inlineStr"/>
      <c r="B30" s="8" t="inlineStr">
        <is>
          <t>Master Bathroom</t>
        </is>
      </c>
      <c r="C30" s="30" t="inlineStr">
        <is>
          <t>Poor</t>
        </is>
      </c>
      <c r="D30" s="8" t="inlineStr">
        <is>
          <t>Dated vanity, stained tub/shower, dated fixtures and tile</t>
        </is>
      </c>
      <c r="E30" s="8" t="inlineStr">
        <is>
          <t>Full renovation</t>
        </is>
      </c>
      <c r="F30" s="8" t="inlineStr">
        <is>
          <t>Deep clean, caulk, minor repairs</t>
        </is>
      </c>
    </row>
    <row r="31">
      <c r="A31" s="29" t="inlineStr">
        <is>
          <t>MECHANICAL</t>
        </is>
      </c>
    </row>
    <row r="32">
      <c r="A32" s="9" t="inlineStr"/>
      <c r="B32" s="9" t="inlineStr">
        <is>
          <t>Furnace</t>
        </is>
      </c>
      <c r="C32" s="31" t="inlineStr">
        <is>
          <t>Good</t>
        </is>
      </c>
      <c r="D32" s="9" t="inlineStr">
        <is>
          <t>NEW — Butler Heating installed 8/8/2024. Do NOT scope.</t>
        </is>
      </c>
      <c r="E32" s="9" t="inlineStr">
        <is>
          <t>No action — new unit</t>
        </is>
      </c>
      <c r="F32" s="9" t="inlineStr">
        <is>
          <t>No action — new unit</t>
        </is>
      </c>
    </row>
    <row r="33">
      <c r="A33" s="8" t="inlineStr"/>
      <c r="B33" s="8" t="inlineStr">
        <is>
          <t>A/C Condenser</t>
        </is>
      </c>
      <c r="C33" s="30" t="inlineStr">
        <is>
          <t>Poor</t>
        </is>
      </c>
      <c r="D33" s="8" t="inlineStr">
        <is>
          <t>Original R-22 unit, refrigerant phased out. Must replace.</t>
        </is>
      </c>
      <c r="E33" s="8" t="inlineStr">
        <is>
          <t>Replace with new R-410A condenser</t>
        </is>
      </c>
      <c r="F33" s="8" t="inlineStr">
        <is>
          <t>Replace (R-22 is a liability)</t>
        </is>
      </c>
    </row>
    <row r="34">
      <c r="A34" s="9" t="inlineStr"/>
      <c r="B34" s="9" t="inlineStr">
        <is>
          <t>Water Heater</t>
        </is>
      </c>
      <c r="C34" s="31" t="inlineStr">
        <is>
          <t>Good</t>
        </is>
      </c>
      <c r="D34" s="9" t="inlineStr">
        <is>
          <t>Envirotemp 40-gal, ~2 years old (2024). Functional.</t>
        </is>
      </c>
      <c r="E34" s="9" t="inlineStr">
        <is>
          <t>No action — relatively new</t>
        </is>
      </c>
      <c r="F34" s="9" t="inlineStr">
        <is>
          <t>No action</t>
        </is>
      </c>
    </row>
    <row r="35">
      <c r="A35" s="8" t="inlineStr"/>
      <c r="B35" s="8" t="inlineStr">
        <is>
          <t>Electrical Panel</t>
        </is>
      </c>
      <c r="C35" s="32" t="inlineStr">
        <is>
          <t>Fair</t>
        </is>
      </c>
      <c r="D35" s="8" t="inlineStr">
        <is>
          <t>Breaker panel (not fuse box), original 1959 circuit directory. Adequate for current use.</t>
        </is>
      </c>
      <c r="E35" s="8" t="inlineStr">
        <is>
          <t>No panel upgrade needed; update outlets/switches per room</t>
        </is>
      </c>
      <c r="F35" s="8" t="inlineStr">
        <is>
          <t>No action</t>
        </is>
      </c>
    </row>
    <row r="36">
      <c r="A36" s="9" t="inlineStr"/>
      <c r="B36" s="9" t="inlineStr">
        <is>
          <t>Plumbing</t>
        </is>
      </c>
      <c r="C36" s="31" t="inlineStr">
        <is>
          <t>Good</t>
        </is>
      </c>
      <c r="D36" s="9" t="inlineStr">
        <is>
          <t>Copper supply lines visible, no issues noted</t>
        </is>
      </c>
      <c r="E36" s="9" t="inlineStr">
        <is>
          <t>No action needed</t>
        </is>
      </c>
      <c r="F36" s="9" t="inlineStr">
        <is>
          <t>No action needed</t>
        </is>
      </c>
    </row>
    <row r="37">
      <c r="A37" s="29" t="inlineStr">
        <is>
          <t>INTERIOR</t>
        </is>
      </c>
    </row>
    <row r="38">
      <c r="A38" s="8" t="inlineStr"/>
      <c r="B38" s="8" t="inlineStr">
        <is>
          <t>Interior Doors</t>
        </is>
      </c>
      <c r="C38" s="32" t="inlineStr">
        <is>
          <t>Fair</t>
        </is>
      </c>
      <c r="D38" s="8" t="inlineStr">
        <is>
          <t>Mix of hollow-core doors, some showing wear. Most functional.</t>
        </is>
      </c>
      <c r="E38" s="8" t="inlineStr">
        <is>
          <t>Replace 2 damaged slabs, new hardware all doors</t>
        </is>
      </c>
      <c r="F38" s="8" t="inlineStr">
        <is>
          <t>Leave as-is</t>
        </is>
      </c>
    </row>
    <row r="39">
      <c r="A39" s="9" t="inlineStr"/>
      <c r="B39" s="9" t="inlineStr">
        <is>
          <t>Trim/Baseboard</t>
        </is>
      </c>
      <c r="C39" s="32" t="inlineStr">
        <is>
          <t>Fair</t>
        </is>
      </c>
      <c r="D39" s="9" t="inlineStr">
        <is>
          <t>Original trim, mostly intact. Some damage where flooring meets wall.</t>
        </is>
      </c>
      <c r="E39" s="9" t="inlineStr">
        <is>
          <t>Shoe mold at new flooring, replace damaged baseboard sections</t>
        </is>
      </c>
      <c r="F39" s="9" t="inlineStr">
        <is>
          <t>Leave as-is</t>
        </is>
      </c>
    </row>
    <row r="40">
      <c r="A40" s="8" t="inlineStr"/>
      <c r="B40" s="8" t="inlineStr">
        <is>
          <t>Drywall</t>
        </is>
      </c>
      <c r="C40" s="32" t="inlineStr">
        <is>
          <t>Fair</t>
        </is>
      </c>
      <c r="D40" s="8" t="inlineStr">
        <is>
          <t>Several punch holes and damage spots throughout. Hall bath ceiling has major repair needed.</t>
        </is>
      </c>
      <c r="E40" s="8" t="inlineStr">
        <is>
          <t>Patch all damage, repair hall bath ceiling</t>
        </is>
      </c>
      <c r="F40" s="8" t="inlineStr">
        <is>
          <t>Patch visible holes, repair hall bath ceiling</t>
        </is>
      </c>
    </row>
  </sheetData>
  <mergeCells count="9">
    <mergeCell ref="A24:F24"/>
    <mergeCell ref="A2:F2"/>
    <mergeCell ref="A28:F28"/>
    <mergeCell ref="A13:F13"/>
    <mergeCell ref="A1:F1"/>
    <mergeCell ref="A5:F5"/>
    <mergeCell ref="A37:F37"/>
    <mergeCell ref="A31:F31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0" customWidth="1" min="3" max="3"/>
    <col width="35" customWidth="1" min="4" max="4"/>
    <col width="10" customWidth="1" min="5" max="5"/>
    <col width="10" customWidth="1" min="6" max="6"/>
  </cols>
  <sheetData>
    <row r="1">
      <c r="A1" s="1" t="inlineStr">
        <is>
          <t>DEAL ANALYZER</t>
        </is>
      </c>
    </row>
    <row r="2"/>
    <row r="3">
      <c r="A3" s="4" t="inlineStr">
        <is>
          <t>PROPERTY INFORMATION</t>
        </is>
      </c>
    </row>
    <row r="4">
      <c r="A4" s="5" t="inlineStr">
        <is>
          <t>Address</t>
        </is>
      </c>
      <c r="B4" s="6" t="inlineStr">
        <is>
          <t>5532 Joyce Ann Dr</t>
        </is>
      </c>
    </row>
    <row r="5">
      <c r="A5" s="5" t="inlineStr">
        <is>
          <t>City/State/Zip</t>
        </is>
      </c>
      <c r="B5" s="6" t="inlineStr">
        <is>
          <t>Dayton, OH 45415</t>
        </is>
      </c>
    </row>
    <row r="6">
      <c r="A6" s="5" t="inlineStr">
        <is>
          <t>Square Footage</t>
        </is>
      </c>
      <c r="B6" s="6" t="inlineStr">
        <is>
          <t>1,892</t>
        </is>
      </c>
    </row>
    <row r="7">
      <c r="A7" s="5" t="inlineStr">
        <is>
          <t>Beds/Baths</t>
        </is>
      </c>
      <c r="B7" s="6" t="inlineStr">
        <is>
          <t>3 / 2.0</t>
        </is>
      </c>
    </row>
    <row r="8">
      <c r="A8" s="5" t="inlineStr">
        <is>
          <t>Year Built</t>
        </is>
      </c>
      <c r="B8" s="6" t="inlineStr">
        <is>
          <t>1961</t>
        </is>
      </c>
    </row>
    <row r="9"/>
    <row r="10">
      <c r="A10" s="4" t="inlineStr">
        <is>
          <t>FULL REHAB ANALYSIS</t>
        </is>
      </c>
      <c r="D10" s="4" t="inlineStr">
        <is>
          <t>WHOLETAIL ANALYSIS</t>
        </is>
      </c>
    </row>
    <row r="11">
      <c r="A11" s="5" t="inlineStr">
        <is>
          <t>After Repair Value (ARV)</t>
        </is>
      </c>
      <c r="B11" s="33" t="n">
        <v>265000</v>
      </c>
      <c r="D11" s="5" t="inlineStr">
        <is>
          <t>After Repair Value (ARV)</t>
        </is>
      </c>
      <c r="E11" s="33" t="n">
        <v>265000</v>
      </c>
    </row>
    <row r="12">
      <c r="A12" s="5" t="inlineStr">
        <is>
          <t>Purchase Price</t>
        </is>
      </c>
      <c r="B12" s="33" t="n">
        <v>155000</v>
      </c>
      <c r="D12" s="5" t="inlineStr">
        <is>
          <t>Purchase Price</t>
        </is>
      </c>
      <c r="E12" s="33" t="n">
        <v>155000</v>
      </c>
    </row>
    <row r="13">
      <c r="A13" s="5" t="inlineStr">
        <is>
          <t>Rehab Cost</t>
        </is>
      </c>
      <c r="B13" s="33" t="n">
        <v>63379</v>
      </c>
      <c r="D13" s="5" t="inlineStr">
        <is>
          <t>Rehab Cost</t>
        </is>
      </c>
      <c r="E13" s="33" t="n">
        <v>11358</v>
      </c>
    </row>
    <row r="14">
      <c r="A14" s="5" t="inlineStr">
        <is>
          <t>Total Investment</t>
        </is>
      </c>
      <c r="B14" s="33" t="n">
        <v>218379</v>
      </c>
      <c r="D14" s="5" t="inlineStr">
        <is>
          <t>Total Investment</t>
        </is>
      </c>
      <c r="E14" s="33" t="n">
        <v>166358</v>
      </c>
    </row>
    <row r="15">
      <c r="A15" s="5" t="inlineStr"/>
      <c r="D15" s="5" t="inlineStr"/>
    </row>
    <row r="16">
      <c r="A16" s="5" t="inlineStr">
        <is>
          <t>Potential Profit</t>
        </is>
      </c>
      <c r="B16" s="33" t="n">
        <v>46621</v>
      </c>
      <c r="D16" s="5" t="inlineStr">
        <is>
          <t>Potential Profit</t>
        </is>
      </c>
      <c r="E16" s="33" t="n">
        <v>48642</v>
      </c>
    </row>
    <row r="17">
      <c r="A17" s="5" t="inlineStr">
        <is>
          <t>ROI</t>
        </is>
      </c>
      <c r="B17" s="34" t="n">
        <v>0.213</v>
      </c>
      <c r="D17" s="5" t="inlineStr">
        <is>
          <t>ROI</t>
        </is>
      </c>
      <c r="E17" s="34" t="n">
        <v>0.292</v>
      </c>
    </row>
    <row r="18"/>
    <row r="19">
      <c r="A19" s="4" t="inlineStr">
        <is>
          <t>75% RULE CHECK</t>
        </is>
      </c>
    </row>
    <row r="20">
      <c r="A20" s="5" t="inlineStr">
        <is>
          <t>Max Allowable Offer (75% Rule)</t>
        </is>
      </c>
      <c r="B20" s="35" t="n">
        <v>135371</v>
      </c>
    </row>
    <row r="21">
      <c r="A21" s="36" t="inlineStr">
        <is>
          <t>Formula: ARV × 75% − Rehab Cost</t>
        </is>
      </c>
    </row>
    <row r="22"/>
    <row r="23">
      <c r="A23" s="4" t="inlineStr">
        <is>
          <t>REHAB BUDGET vs MARKET PREMIUM</t>
        </is>
      </c>
    </row>
    <row r="24">
      <c r="A24" s="5" t="inlineStr">
        <is>
          <t>Market Premium (Bucket B − A × GLA)</t>
        </is>
      </c>
      <c r="B24" s="33" t="n">
        <v>59258</v>
      </c>
    </row>
    <row r="25">
      <c r="A25" s="5" t="inlineStr">
        <is>
          <t>Rehab as % of Premium</t>
        </is>
      </c>
      <c r="B25" s="37" t="n">
        <v>1.07</v>
      </c>
    </row>
    <row r="26">
      <c r="A26" s="36" t="inlineStr">
        <is>
          <t>Target: 40-70% (healthy margin)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1" customWidth="1" min="7" max="7"/>
    <col width="30" customWidth="1" min="8" max="8"/>
  </cols>
  <sheetData>
    <row r="1">
      <c r="A1" s="1" t="inlineStr">
        <is>
          <t>BUDGET TRACKER</t>
        </is>
      </c>
    </row>
    <row r="2">
      <c r="A2" s="38" t="inlineStr">
        <is>
          <t>Track actual costs against budget during renovation</t>
        </is>
      </c>
    </row>
    <row r="3"/>
    <row r="4">
      <c r="A4" s="7" t="inlineStr">
        <is>
          <t>#</t>
        </is>
      </c>
      <c r="B4" s="7" t="inlineStr">
        <is>
          <t>Line Item</t>
        </is>
      </c>
      <c r="C4" s="7" t="inlineStr">
        <is>
          <t>Budget</t>
        </is>
      </c>
      <c r="D4" s="7" t="inlineStr">
        <is>
          <t>Actual</t>
        </is>
      </c>
      <c r="E4" s="7" t="inlineStr">
        <is>
          <t>Variance</t>
        </is>
      </c>
      <c r="F4" s="7" t="inlineStr">
        <is>
          <t>Invoice Date</t>
        </is>
      </c>
      <c r="G4" s="7" t="inlineStr">
        <is>
          <t>Paid Date</t>
        </is>
      </c>
      <c r="H4" s="7" t="inlineStr">
        <is>
          <t>Notes</t>
        </is>
      </c>
    </row>
    <row r="5">
      <c r="A5" s="39" t="n">
        <v>1</v>
      </c>
      <c r="B5" s="39" t="inlineStr">
        <is>
          <t>Demo &amp; Cleanup</t>
        </is>
      </c>
      <c r="C5" s="40" t="n">
        <v>3560</v>
      </c>
      <c r="D5" s="41" t="n"/>
      <c r="E5" s="40">
        <f>C5-D5</f>
        <v/>
      </c>
      <c r="F5" s="41" t="n"/>
      <c r="G5" s="41" t="n"/>
      <c r="H5" s="41" t="n"/>
    </row>
    <row r="6">
      <c r="A6" s="39" t="n">
        <v>2</v>
      </c>
      <c r="B6" s="39" t="inlineStr">
        <is>
          <t>Paint</t>
        </is>
      </c>
      <c r="C6" s="40" t="n">
        <v>7795</v>
      </c>
      <c r="D6" s="41" t="n"/>
      <c r="E6" s="40">
        <f>C6-D6</f>
        <v/>
      </c>
      <c r="F6" s="41" t="n"/>
      <c r="G6" s="41" t="n"/>
      <c r="H6" s="41" t="n"/>
    </row>
    <row r="7">
      <c r="A7" s="39" t="n">
        <v>3</v>
      </c>
      <c r="B7" s="39" t="inlineStr">
        <is>
          <t>Flooring</t>
        </is>
      </c>
      <c r="C7" s="40" t="n">
        <v>8090</v>
      </c>
      <c r="D7" s="41" t="n"/>
      <c r="E7" s="40">
        <f>C7-D7</f>
        <v/>
      </c>
      <c r="F7" s="41" t="n"/>
      <c r="G7" s="41" t="n"/>
      <c r="H7" s="41" t="n"/>
    </row>
    <row r="8">
      <c r="A8" s="39" t="n">
        <v>4</v>
      </c>
      <c r="B8" s="39" t="inlineStr">
        <is>
          <t>Kitchen</t>
        </is>
      </c>
      <c r="C8" s="40" t="n">
        <v>8008</v>
      </c>
      <c r="D8" s="41" t="n"/>
      <c r="E8" s="40">
        <f>C8-D8</f>
        <v/>
      </c>
      <c r="F8" s="41" t="n"/>
      <c r="G8" s="41" t="n"/>
      <c r="H8" s="41" t="n"/>
    </row>
    <row r="9">
      <c r="A9" s="39" t="n">
        <v>5</v>
      </c>
      <c r="B9" s="39" t="inlineStr">
        <is>
          <t>Bathrooms</t>
        </is>
      </c>
      <c r="C9" s="40" t="n">
        <v>8500</v>
      </c>
      <c r="D9" s="41" t="n"/>
      <c r="E9" s="40">
        <f>C9-D9</f>
        <v/>
      </c>
      <c r="F9" s="41" t="n"/>
      <c r="G9" s="41" t="n"/>
      <c r="H9" s="41" t="n"/>
    </row>
    <row r="10">
      <c r="A10" s="39" t="n">
        <v>6</v>
      </c>
      <c r="B10" s="39" t="inlineStr">
        <is>
          <t>Windows &amp; Doors</t>
        </is>
      </c>
      <c r="C10" s="40" t="n">
        <v>9775</v>
      </c>
      <c r="D10" s="41" t="n"/>
      <c r="E10" s="40">
        <f>C10-D10</f>
        <v/>
      </c>
      <c r="F10" s="41" t="n"/>
      <c r="G10" s="41" t="n"/>
      <c r="H10" s="41" t="n"/>
    </row>
    <row r="11">
      <c r="A11" s="39" t="n">
        <v>7</v>
      </c>
      <c r="B11" s="39" t="inlineStr">
        <is>
          <t>Electrical</t>
        </is>
      </c>
      <c r="C11" s="40" t="n">
        <v>1556</v>
      </c>
      <c r="D11" s="41" t="n"/>
      <c r="E11" s="40">
        <f>C11-D11</f>
        <v/>
      </c>
      <c r="F11" s="41" t="n"/>
      <c r="G11" s="41" t="n"/>
      <c r="H11" s="41" t="n"/>
    </row>
    <row r="12">
      <c r="A12" s="39" t="n">
        <v>8</v>
      </c>
      <c r="B12" s="39" t="inlineStr">
        <is>
          <t>Drywall</t>
        </is>
      </c>
      <c r="C12" s="40" t="n">
        <v>750</v>
      </c>
      <c r="D12" s="41" t="n"/>
      <c r="E12" s="40">
        <f>C12-D12</f>
        <v/>
      </c>
      <c r="F12" s="41" t="n"/>
      <c r="G12" s="41" t="n"/>
      <c r="H12" s="41" t="n"/>
    </row>
    <row r="13">
      <c r="A13" s="39" t="n">
        <v>9</v>
      </c>
      <c r="B13" s="39" t="inlineStr">
        <is>
          <t>Trim &amp; Millwork</t>
        </is>
      </c>
      <c r="C13" s="40" t="n">
        <v>608</v>
      </c>
      <c r="D13" s="41" t="n"/>
      <c r="E13" s="40">
        <f>C13-D13</f>
        <v/>
      </c>
      <c r="F13" s="41" t="n"/>
      <c r="G13" s="41" t="n"/>
      <c r="H13" s="41" t="n"/>
    </row>
    <row r="14">
      <c r="A14" s="39" t="n">
        <v>10</v>
      </c>
      <c r="B14" s="39" t="inlineStr">
        <is>
          <t>HVAC</t>
        </is>
      </c>
      <c r="C14" s="40" t="n">
        <v>2800</v>
      </c>
      <c r="D14" s="41" t="n"/>
      <c r="E14" s="40">
        <f>C14-D14</f>
        <v/>
      </c>
      <c r="F14" s="41" t="n"/>
      <c r="G14" s="41" t="n"/>
      <c r="H14" s="41" t="n"/>
    </row>
    <row r="15">
      <c r="A15" s="39" t="n">
        <v>11</v>
      </c>
      <c r="B15" s="39" t="inlineStr">
        <is>
          <t>Appliances</t>
        </is>
      </c>
      <c r="C15" s="40" t="n">
        <v>2950</v>
      </c>
      <c r="D15" s="41" t="n"/>
      <c r="E15" s="40">
        <f>C15-D15</f>
        <v/>
      </c>
      <c r="F15" s="41" t="n"/>
      <c r="G15" s="41" t="n"/>
      <c r="H15" s="41" t="n"/>
    </row>
    <row r="16">
      <c r="A16" s="39" t="n">
        <v>12</v>
      </c>
      <c r="B16" s="39" t="inlineStr">
        <is>
          <t>Exterior</t>
        </is>
      </c>
      <c r="C16" s="40" t="n">
        <v>1425</v>
      </c>
      <c r="D16" s="41" t="n"/>
      <c r="E16" s="40">
        <f>C16-D16</f>
        <v/>
      </c>
      <c r="F16" s="41" t="n"/>
      <c r="G16" s="41" t="n"/>
      <c r="H16" s="41" t="n"/>
    </row>
    <row r="17">
      <c r="A17" s="39" t="n">
        <v>13</v>
      </c>
      <c r="B17" s="39" t="inlineStr">
        <is>
          <t>Landscaping &amp; Cleanup</t>
        </is>
      </c>
      <c r="C17" s="40" t="n">
        <v>1800</v>
      </c>
      <c r="D17" s="41" t="n"/>
      <c r="E17" s="40">
        <f>C17-D17</f>
        <v/>
      </c>
      <c r="F17" s="41" t="n"/>
      <c r="G17" s="41" t="n"/>
      <c r="H17" s="41" t="n"/>
    </row>
    <row r="18">
      <c r="A18" s="39" t="n">
        <v>14</v>
      </c>
      <c r="B18" s="39" t="inlineStr">
        <is>
          <t>Contingency</t>
        </is>
      </c>
      <c r="C18" s="42" t="n">
        <v>5762</v>
      </c>
      <c r="D18" s="41" t="n"/>
      <c r="E18" s="41" t="n"/>
      <c r="F18" s="41" t="n"/>
      <c r="G18" s="41" t="n"/>
      <c r="H18" s="41" t="n"/>
    </row>
    <row r="19"/>
    <row r="20">
      <c r="B20" s="5" t="inlineStr">
        <is>
          <t>TOTALS</t>
        </is>
      </c>
      <c r="C20" s="22">
        <f>SUM(C5:C18)</f>
        <v/>
      </c>
      <c r="D20" s="22">
        <f>SUM(D5:D18)</f>
        <v/>
      </c>
      <c r="E20" s="22">
        <f>SUM(E5:E18)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45" customWidth="1" min="4" max="4"/>
    <col width="25" customWidth="1" min="5" max="5"/>
    <col width="28" customWidth="1" min="6" max="6"/>
    <col width="45" customWidth="1" min="7" max="7"/>
  </cols>
  <sheetData>
    <row r="1">
      <c r="A1" s="1" t="inlineStr">
        <is>
          <t>RECOMMENDED MATERIAL SPECIFICATIONS</t>
        </is>
      </c>
    </row>
    <row r="2">
      <c r="A2" s="2" t="inlineStr">
        <is>
          <t>Finish Tier: Investor-Flip Grade (Tier 3)</t>
        </is>
      </c>
    </row>
    <row r="3"/>
    <row r="4">
      <c r="A4" s="7" t="inlineStr">
        <is>
          <t>Item</t>
        </is>
      </c>
      <c r="B4" s="7" t="inlineStr">
        <is>
          <t>Specification</t>
        </is>
      </c>
      <c r="C4" s="7" t="inlineStr">
        <is>
          <t>Est. Price</t>
        </is>
      </c>
      <c r="D4" s="7" t="inlineStr">
        <is>
          <t>Finish</t>
        </is>
      </c>
      <c r="E4" s="7" t="inlineStr">
        <is>
          <t>SKU/Link</t>
        </is>
      </c>
      <c r="F4" s="7" t="inlineStr">
        <is>
          <t>Alt. Option</t>
        </is>
      </c>
      <c r="G4" s="7" t="inlineStr">
        <is>
          <t>Notes</t>
        </is>
      </c>
    </row>
    <row r="5">
      <c r="A5" s="29" t="inlineStr">
        <is>
          <t>FLOORING</t>
        </is>
      </c>
    </row>
    <row r="6">
      <c r="A6" s="8" t="inlineStr">
        <is>
          <t>LVP</t>
        </is>
      </c>
      <c r="B6" s="8" t="inlineStr">
        <is>
          <t>Lifeproof Brand, 7mm+ thickness, waterproof core</t>
        </is>
      </c>
      <c r="C6" s="8" t="inlineStr">
        <is>
          <t>$2.50-3.50/SF material</t>
        </is>
      </c>
      <c r="D6" s="8" t="inlineStr">
        <is>
          <t>Gray-tone wood look</t>
        </is>
      </c>
      <c r="E6" s="8" t="inlineStr">
        <is>
          <t>Home Depot — Lifeproof Sterling Oak or similar</t>
        </is>
      </c>
      <c r="F6" s="8" t="inlineStr">
        <is>
          <t>TrafficMaster Rigid Core</t>
        </is>
      </c>
      <c r="G6" s="8" t="inlineStr">
        <is>
          <t>Most popular flip flooring in Midwest markets</t>
        </is>
      </c>
    </row>
    <row r="7">
      <c r="A7" s="9" t="inlineStr">
        <is>
          <t>Carpet</t>
        </is>
      </c>
      <c r="B7" s="9" t="inlineStr">
        <is>
          <t>Mohawk or Shaw, 30-40oz face weight, stain resistant</t>
        </is>
      </c>
      <c r="C7" s="9" t="inlineStr">
        <is>
          <t>$1.50-2.50/SF material</t>
        </is>
      </c>
      <c r="D7" s="9" t="inlineStr">
        <is>
          <t>Neutral beige/gray</t>
        </is>
      </c>
      <c r="E7" s="9" t="inlineStr">
        <is>
          <t>Home Depot/Lowe's builder grade</t>
        </is>
      </c>
      <c r="F7" s="9" t="inlineStr">
        <is>
          <t>Lifeproof Pet Proof</t>
        </is>
      </c>
      <c r="G7" s="9" t="inlineStr">
        <is>
          <t>Bedrooms only</t>
        </is>
      </c>
    </row>
    <row r="8">
      <c r="A8" s="29" t="inlineStr">
        <is>
          <t>KITCHEN</t>
        </is>
      </c>
    </row>
    <row r="9">
      <c r="A9" s="8" t="inlineStr">
        <is>
          <t>Cabinets</t>
        </is>
      </c>
      <c r="B9" s="8" t="inlineStr">
        <is>
          <t>White shaker, plywood box, soft-close hinges/drawers</t>
        </is>
      </c>
      <c r="C9" s="8" t="inlineStr">
        <is>
          <t>$150-250/LF</t>
        </is>
      </c>
      <c r="D9" s="8" t="inlineStr">
        <is>
          <t>White or light gray</t>
        </is>
      </c>
      <c r="E9" s="8" t="inlineStr">
        <is>
          <t>Hampton Bay Shaker or equivalent RTA</t>
        </is>
      </c>
      <c r="F9" s="8" t="inlineStr">
        <is>
          <t>IKEA SEKTION</t>
        </is>
      </c>
      <c r="G9" s="8" t="inlineStr">
        <is>
          <t>Stock cabinets keep cost down while looking custom</t>
        </is>
      </c>
    </row>
    <row r="10">
      <c r="A10" s="9" t="inlineStr">
        <is>
          <t>Countertops</t>
        </is>
      </c>
      <c r="B10" s="9" t="inlineStr">
        <is>
          <t>Level 1 Granite, 3cm thickness, eased edge</t>
        </is>
      </c>
      <c r="C10" s="9" t="inlineStr">
        <is>
          <t>$50/SF installed</t>
        </is>
      </c>
      <c r="D10" s="9" t="inlineStr">
        <is>
          <t>White/gray veined (Luna Pearl, White Dallas)</t>
        </is>
      </c>
      <c r="E10" s="9" t="inlineStr">
        <is>
          <t>Floor &amp; Decor or local fabricator</t>
        </is>
      </c>
      <c r="F10" s="9" t="inlineStr">
        <is>
          <t>Quartz (MSI or Silestone)</t>
        </is>
      </c>
      <c r="G10" s="9" t="inlineStr">
        <is>
          <t>Granite is popular in Dayton market per comps</t>
        </is>
      </c>
    </row>
    <row r="11">
      <c r="A11" s="8" t="inlineStr">
        <is>
          <t>Backsplash</t>
        </is>
      </c>
      <c r="B11" s="8" t="inlineStr">
        <is>
          <t>Ceramic subway tile, 3x6, beveled edge</t>
        </is>
      </c>
      <c r="C11" s="8" t="inlineStr">
        <is>
          <t>$1.50-3.00/SF material</t>
        </is>
      </c>
      <c r="D11" s="8" t="inlineStr">
        <is>
          <t>White gloss or matte</t>
        </is>
      </c>
      <c r="E11" s="8" t="inlineStr">
        <is>
          <t>Floor &amp; Decor or Home Depot</t>
        </is>
      </c>
      <c r="F11" s="8" t="inlineStr">
        <is>
          <t>Peel &amp; stick for wholetail</t>
        </is>
      </c>
      <c r="G11" s="8" t="inlineStr">
        <is>
          <t>Standard subway is timeless and affordable</t>
        </is>
      </c>
    </row>
    <row r="12">
      <c r="A12" s="29" t="inlineStr">
        <is>
          <t>PAINT</t>
        </is>
      </c>
    </row>
    <row r="13">
      <c r="A13" s="9" t="inlineStr">
        <is>
          <t>Interior Walls</t>
        </is>
      </c>
      <c r="B13" s="9" t="inlineStr">
        <is>
          <t>Sherwin-Williams SuperPaint or equivalent, flat/eggshell</t>
        </is>
      </c>
      <c r="C13" s="9" t="inlineStr">
        <is>
          <t>$45-55/gallon</t>
        </is>
      </c>
      <c r="D13" s="9" t="inlineStr">
        <is>
          <t>Agreeable Gray (SW 7029)</t>
        </is>
      </c>
      <c r="E13" s="9" t="inlineStr">
        <is>
          <t>SW 7029</t>
        </is>
      </c>
      <c r="F13" s="9" t="inlineStr">
        <is>
          <t>BM Revere Pewter</t>
        </is>
      </c>
      <c r="G13" s="9" t="inlineStr">
        <is>
          <t>Most universally appealing neutral</t>
        </is>
      </c>
    </row>
    <row r="14">
      <c r="A14" s="8" t="inlineStr">
        <is>
          <t>Trim &amp; Doors</t>
        </is>
      </c>
      <c r="B14" s="8" t="inlineStr">
        <is>
          <t>Sherwin-Williams ProClassic, semi-gloss</t>
        </is>
      </c>
      <c r="C14" s="8" t="inlineStr">
        <is>
          <t>$55-65/gallon</t>
        </is>
      </c>
      <c r="D14" s="8" t="inlineStr">
        <is>
          <t>Extra White (SW 7006)</t>
        </is>
      </c>
      <c r="E14" s="8" t="inlineStr">
        <is>
          <t>SW 7006</t>
        </is>
      </c>
      <c r="F14" s="8" t="inlineStr">
        <is>
          <t>BM Chantilly Lace</t>
        </is>
      </c>
      <c r="G14" s="8" t="inlineStr">
        <is>
          <t>Semi-gloss for durability and clean look</t>
        </is>
      </c>
    </row>
    <row r="15">
      <c r="A15" s="29" t="inlineStr">
        <is>
          <t>FIXTURES</t>
        </is>
      </c>
    </row>
    <row r="16">
      <c r="A16" s="9" t="inlineStr">
        <is>
          <t>Light Fixtures</t>
        </is>
      </c>
      <c r="B16" s="9" t="inlineStr">
        <is>
          <t>Flush mount, LED integrated or E26 base</t>
        </is>
      </c>
      <c r="C16" s="9" t="inlineStr">
        <is>
          <t>$25-50/EA</t>
        </is>
      </c>
      <c r="D16" s="9" t="inlineStr">
        <is>
          <t>Matte black</t>
        </is>
      </c>
      <c r="E16" s="9" t="inlineStr">
        <is>
          <t>Home Depot — Hampton Bay or Globe Electric</t>
        </is>
      </c>
      <c r="F16" s="9" t="inlineStr">
        <is>
          <t>Brushed nickel</t>
        </is>
      </c>
      <c r="G16" s="9" t="inlineStr">
        <is>
          <t>Matte black trending in 2025-2026</t>
        </is>
      </c>
    </row>
    <row r="17">
      <c r="A17" s="8" t="inlineStr">
        <is>
          <t>Door Hardware</t>
        </is>
      </c>
      <c r="B17" s="8" t="inlineStr">
        <is>
          <t>Passage/privacy levers</t>
        </is>
      </c>
      <c r="C17" s="8" t="inlineStr">
        <is>
          <t>$15-25/EA</t>
        </is>
      </c>
      <c r="D17" s="8" t="inlineStr">
        <is>
          <t>Matte black or brushed nickel (match lights)</t>
        </is>
      </c>
      <c r="E17" s="8" t="inlineStr">
        <is>
          <t>Kwikset Halifax or Schlage</t>
        </is>
      </c>
      <c r="F17" s="8" t="inlineStr">
        <is>
          <t>Defiant brand (budget)</t>
        </is>
      </c>
      <c r="G17" s="8" t="inlineStr">
        <is>
          <t>Match finish to light fixtures for cohesive look</t>
        </is>
      </c>
    </row>
    <row r="18"/>
    <row r="19"/>
    <row r="20">
      <c r="A20" s="4" t="inlineStr">
        <is>
          <t>PAINT COLOR SCHEME (Modern Neutral — Most Popular)</t>
        </is>
      </c>
    </row>
    <row r="21">
      <c r="A21" s="7" t="inlineStr">
        <is>
          <t>Application</t>
        </is>
      </c>
      <c r="B21" s="7" t="inlineStr">
        <is>
          <t>Color Name</t>
        </is>
      </c>
      <c r="C21" s="7" t="inlineStr">
        <is>
          <t>Brand</t>
        </is>
      </c>
      <c r="D21" s="7" t="inlineStr">
        <is>
          <t>Code</t>
        </is>
      </c>
    </row>
    <row r="22">
      <c r="A22" s="8" t="inlineStr">
        <is>
          <t>Interior Walls</t>
        </is>
      </c>
      <c r="B22" s="8" t="inlineStr">
        <is>
          <t>Agreeable Gray</t>
        </is>
      </c>
      <c r="C22" s="8" t="inlineStr">
        <is>
          <t>Sherwin-Williams</t>
        </is>
      </c>
      <c r="D22" s="8" t="inlineStr">
        <is>
          <t>SW 7029</t>
        </is>
      </c>
    </row>
    <row r="23">
      <c r="A23" s="9" t="inlineStr">
        <is>
          <t>Trim &amp; Doors</t>
        </is>
      </c>
      <c r="B23" s="9" t="inlineStr">
        <is>
          <t>Extra White</t>
        </is>
      </c>
      <c r="C23" s="9" t="inlineStr">
        <is>
          <t>Sherwin-Williams</t>
        </is>
      </c>
      <c r="D23" s="9" t="inlineStr">
        <is>
          <t>SW 7006</t>
        </is>
      </c>
    </row>
    <row r="24">
      <c r="A24" s="8" t="inlineStr">
        <is>
          <t>Ceilings</t>
        </is>
      </c>
      <c r="B24" s="8" t="inlineStr">
        <is>
          <t>Ceiling Bright White</t>
        </is>
      </c>
      <c r="C24" s="8" t="inlineStr">
        <is>
          <t>Sherwin-Williams</t>
        </is>
      </c>
      <c r="D24" s="8" t="inlineStr">
        <is>
          <t>SW 7007</t>
        </is>
      </c>
    </row>
    <row r="25">
      <c r="A25" s="9" t="inlineStr">
        <is>
          <t>Cabinets</t>
        </is>
      </c>
      <c r="B25" s="9" t="inlineStr">
        <is>
          <t>Pure White</t>
        </is>
      </c>
      <c r="C25" s="9" t="inlineStr">
        <is>
          <t>Sherwin-Williams</t>
        </is>
      </c>
      <c r="D25" s="9" t="inlineStr">
        <is>
          <t>SW 7005</t>
        </is>
      </c>
    </row>
    <row r="26">
      <c r="A26" s="8" t="inlineStr">
        <is>
          <t>Accent</t>
        </is>
      </c>
      <c r="B26" s="8" t="inlineStr">
        <is>
          <t>Iron Ore</t>
        </is>
      </c>
      <c r="C26" s="8" t="inlineStr">
        <is>
          <t>Sherwin-Williams</t>
        </is>
      </c>
      <c r="D26" s="8" t="inlineStr">
        <is>
          <t>SW 7069</t>
        </is>
      </c>
    </row>
    <row r="27">
      <c r="A27" s="9" t="inlineStr">
        <is>
          <t>Exterior</t>
        </is>
      </c>
      <c r="B27" s="9" t="inlineStr">
        <is>
          <t>Repose Gray</t>
        </is>
      </c>
      <c r="C27" s="9" t="inlineStr">
        <is>
          <t>Sherwin-Williams</t>
        </is>
      </c>
      <c r="D27" s="9" t="inlineStr">
        <is>
          <t>SW 7015</t>
        </is>
      </c>
    </row>
  </sheetData>
  <mergeCells count="6">
    <mergeCell ref="A1:G1"/>
    <mergeCell ref="A8:G8"/>
    <mergeCell ref="A12:G12"/>
    <mergeCell ref="A2:G2"/>
    <mergeCell ref="A15:G15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0" customWidth="1" min="3" max="3"/>
    <col width="11" customWidth="1" min="4" max="4"/>
    <col width="13" customWidth="1" min="5" max="5"/>
    <col width="30" customWidth="1" min="6" max="6"/>
  </cols>
  <sheetData>
    <row r="1">
      <c r="A1" s="1" t="inlineStr">
        <is>
          <t>PROJECT CHECKLIST &amp; TIMELINE</t>
        </is>
      </c>
    </row>
    <row r="2"/>
    <row r="3">
      <c r="A3" s="7" t="inlineStr">
        <is>
          <t>Task</t>
        </is>
      </c>
      <c r="B3" s="7" t="inlineStr">
        <is>
          <t>Status</t>
        </is>
      </c>
      <c r="C3" s="7" t="inlineStr">
        <is>
          <t>Due Date</t>
        </is>
      </c>
      <c r="D3" s="7" t="inlineStr">
        <is>
          <t>Completed</t>
        </is>
      </c>
      <c r="E3" s="7" t="inlineStr">
        <is>
          <t>Assigned To</t>
        </is>
      </c>
      <c r="F3" s="7" t="inlineStr">
        <is>
          <t>Notes</t>
        </is>
      </c>
    </row>
    <row r="4">
      <c r="A4" s="29" t="inlineStr">
        <is>
          <t>PRE-CONSTRUCTION</t>
        </is>
      </c>
    </row>
    <row r="5">
      <c r="A5" s="39" t="inlineStr">
        <is>
          <t>Turn on utilities (water, electric, gas)</t>
        </is>
      </c>
      <c r="B5" s="39" t="inlineStr">
        <is>
          <t>Not Started</t>
        </is>
      </c>
      <c r="C5" s="41" t="n"/>
      <c r="D5" s="41" t="n"/>
      <c r="E5" s="41" t="n"/>
      <c r="F5" s="41" t="n"/>
    </row>
    <row r="6">
      <c r="A6" s="43" t="inlineStr">
        <is>
          <t>Property inspection / scope walkthrough</t>
        </is>
      </c>
      <c r="B6" s="43" t="inlineStr">
        <is>
          <t>Not Started</t>
        </is>
      </c>
      <c r="C6" s="44" t="n"/>
      <c r="D6" s="44" t="n"/>
      <c r="E6" s="44" t="n"/>
      <c r="F6" s="44" t="n"/>
    </row>
    <row r="7">
      <c r="A7" s="39" t="inlineStr">
        <is>
          <t>Finalize scope of work</t>
        </is>
      </c>
      <c r="B7" s="39" t="inlineStr">
        <is>
          <t>Not Started</t>
        </is>
      </c>
      <c r="C7" s="41" t="n"/>
      <c r="D7" s="41" t="n"/>
      <c r="E7" s="41" t="n"/>
      <c r="F7" s="41" t="n"/>
    </row>
    <row r="8">
      <c r="A8" s="43" t="inlineStr">
        <is>
          <t>Get contractor bids (minimum 2-3)</t>
        </is>
      </c>
      <c r="B8" s="43" t="inlineStr">
        <is>
          <t>Not Started</t>
        </is>
      </c>
      <c r="C8" s="44" t="n"/>
      <c r="D8" s="44" t="n"/>
      <c r="E8" s="44" t="n"/>
      <c r="F8" s="44" t="n"/>
    </row>
    <row r="9">
      <c r="A9" s="39" t="inlineStr">
        <is>
          <t>Pull required permits</t>
        </is>
      </c>
      <c r="B9" s="39" t="inlineStr">
        <is>
          <t>Not Started</t>
        </is>
      </c>
      <c r="C9" s="41" t="n"/>
      <c r="D9" s="41" t="n"/>
      <c r="E9" s="41" t="n"/>
      <c r="F9" s="41" t="n"/>
    </row>
    <row r="10">
      <c r="A10" s="43" t="inlineStr">
        <is>
          <t>Order materials (long lead items first)</t>
        </is>
      </c>
      <c r="B10" s="43" t="inlineStr">
        <is>
          <t>Not Started</t>
        </is>
      </c>
      <c r="C10" s="44" t="n"/>
      <c r="D10" s="44" t="n"/>
      <c r="E10" s="44" t="n"/>
      <c r="F10" s="44" t="n"/>
    </row>
    <row r="11">
      <c r="A11" s="39" t="inlineStr">
        <is>
          <t>Schedule dumpster delivery</t>
        </is>
      </c>
      <c r="B11" s="39" t="inlineStr">
        <is>
          <t>Not Started</t>
        </is>
      </c>
      <c r="C11" s="41" t="n"/>
      <c r="D11" s="41" t="n"/>
      <c r="E11" s="41" t="n"/>
      <c r="F11" s="41" t="n"/>
    </row>
    <row r="12">
      <c r="A12" s="43" t="inlineStr">
        <is>
          <t>Secure property (locks, lockbox)</t>
        </is>
      </c>
      <c r="B12" s="43" t="inlineStr">
        <is>
          <t>Not Started</t>
        </is>
      </c>
      <c r="C12" s="44" t="n"/>
      <c r="D12" s="44" t="n"/>
      <c r="E12" s="44" t="n"/>
      <c r="F12" s="44" t="n"/>
    </row>
    <row r="13"/>
    <row r="14">
      <c r="A14" s="29" t="inlineStr">
        <is>
          <t>WEEK 1 — DEMO &amp; ROUGH</t>
        </is>
      </c>
    </row>
    <row r="15">
      <c r="A15" s="39" t="inlineStr">
        <is>
          <t>Dumpster delivered</t>
        </is>
      </c>
      <c r="B15" s="39" t="inlineStr">
        <is>
          <t>Not Started</t>
        </is>
      </c>
      <c r="C15" s="41" t="n"/>
      <c r="D15" s="41" t="n"/>
      <c r="E15" s="41" t="n"/>
      <c r="F15" s="41" t="n"/>
    </row>
    <row r="16">
      <c r="A16" s="43" t="inlineStr">
        <is>
          <t>Interior demo (kitchen, bath, flooring)</t>
        </is>
      </c>
      <c r="B16" s="43" t="inlineStr">
        <is>
          <t>Not Started</t>
        </is>
      </c>
      <c r="C16" s="44" t="n"/>
      <c r="D16" s="44" t="n"/>
      <c r="E16" s="44" t="n"/>
      <c r="F16" s="44" t="n"/>
    </row>
    <row r="17">
      <c r="A17" s="39" t="inlineStr">
        <is>
          <t>Rough plumbing</t>
        </is>
      </c>
      <c r="B17" s="39" t="inlineStr">
        <is>
          <t>Not Started</t>
        </is>
      </c>
      <c r="C17" s="41" t="n"/>
      <c r="D17" s="41" t="n"/>
      <c r="E17" s="41" t="n"/>
      <c r="F17" s="41" t="n"/>
    </row>
    <row r="18">
      <c r="A18" s="43" t="inlineStr">
        <is>
          <t>Rough electrical</t>
        </is>
      </c>
      <c r="B18" s="43" t="inlineStr">
        <is>
          <t>Not Started</t>
        </is>
      </c>
      <c r="C18" s="44" t="n"/>
      <c r="D18" s="44" t="n"/>
      <c r="E18" s="44" t="n"/>
      <c r="F18" s="44" t="n"/>
    </row>
    <row r="19">
      <c r="A19" s="39" t="inlineStr">
        <is>
          <t>HVAC rough-in / replacement</t>
        </is>
      </c>
      <c r="B19" s="39" t="inlineStr">
        <is>
          <t>Not Started</t>
        </is>
      </c>
      <c r="C19" s="41" t="n"/>
      <c r="D19" s="41" t="n"/>
      <c r="E19" s="41" t="n"/>
      <c r="F19" s="41" t="n"/>
    </row>
    <row r="20">
      <c r="A20" s="43" t="inlineStr">
        <is>
          <t>Framing changes (if any)</t>
        </is>
      </c>
      <c r="B20" s="43" t="inlineStr">
        <is>
          <t>Not Started</t>
        </is>
      </c>
      <c r="C20" s="44" t="n"/>
      <c r="D20" s="44" t="n"/>
      <c r="E20" s="44" t="n"/>
      <c r="F20" s="44" t="n"/>
    </row>
    <row r="21">
      <c r="A21" s="39" t="inlineStr">
        <is>
          <t>Schedule rough inspections</t>
        </is>
      </c>
      <c r="B21" s="39" t="inlineStr">
        <is>
          <t>Not Started</t>
        </is>
      </c>
      <c r="C21" s="41" t="n"/>
      <c r="D21" s="41" t="n"/>
      <c r="E21" s="41" t="n"/>
      <c r="F21" s="41" t="n"/>
    </row>
    <row r="22"/>
    <row r="23">
      <c r="A23" s="29" t="inlineStr">
        <is>
          <t>WEEK 2 — SYSTEMS &amp; STRUCTURE</t>
        </is>
      </c>
    </row>
    <row r="24">
      <c r="A24" s="39" t="inlineStr">
        <is>
          <t>Rough inspections passed</t>
        </is>
      </c>
      <c r="B24" s="39" t="inlineStr">
        <is>
          <t>Not Started</t>
        </is>
      </c>
      <c r="C24" s="41" t="n"/>
      <c r="D24" s="41" t="n"/>
      <c r="E24" s="41" t="n"/>
      <c r="F24" s="41" t="n"/>
    </row>
    <row r="25">
      <c r="A25" s="43" t="inlineStr">
        <is>
          <t>Insulation</t>
        </is>
      </c>
      <c r="B25" s="43" t="inlineStr">
        <is>
          <t>Not Started</t>
        </is>
      </c>
      <c r="C25" s="44" t="n"/>
      <c r="D25" s="44" t="n"/>
      <c r="E25" s="44" t="n"/>
      <c r="F25" s="44" t="n"/>
    </row>
    <row r="26">
      <c r="A26" s="39" t="inlineStr">
        <is>
          <t>Drywall hang + tape + mud</t>
        </is>
      </c>
      <c r="B26" s="39" t="inlineStr">
        <is>
          <t>Not Started</t>
        </is>
      </c>
      <c r="C26" s="41" t="n"/>
      <c r="D26" s="41" t="n"/>
      <c r="E26" s="41" t="n"/>
      <c r="F26" s="41" t="n"/>
    </row>
    <row r="27">
      <c r="A27" s="43" t="inlineStr">
        <is>
          <t>Window installation (if replacing)</t>
        </is>
      </c>
      <c r="B27" s="43" t="inlineStr">
        <is>
          <t>Not Started</t>
        </is>
      </c>
      <c r="C27" s="44" t="n"/>
      <c r="D27" s="44" t="n"/>
      <c r="E27" s="44" t="n"/>
      <c r="F27" s="44" t="n"/>
    </row>
    <row r="28">
      <c r="A28" s="39" t="inlineStr">
        <is>
          <t>Exterior repairs (siding, soffit, fascia)</t>
        </is>
      </c>
      <c r="B28" s="39" t="inlineStr">
        <is>
          <t>Not Started</t>
        </is>
      </c>
      <c r="C28" s="41" t="n"/>
      <c r="D28" s="41" t="n"/>
      <c r="E28" s="41" t="n"/>
      <c r="F28" s="41" t="n"/>
    </row>
    <row r="29">
      <c r="A29" s="43" t="inlineStr">
        <is>
          <t>Roof work (if needed)</t>
        </is>
      </c>
      <c r="B29" s="43" t="inlineStr">
        <is>
          <t>Not Started</t>
        </is>
      </c>
      <c r="C29" s="44" t="n"/>
      <c r="D29" s="44" t="n"/>
      <c r="E29" s="44" t="n"/>
      <c r="F29" s="44" t="n"/>
    </row>
    <row r="30"/>
    <row r="31">
      <c r="A31" s="29" t="inlineStr">
        <is>
          <t>WEEK 3 — FINISHES</t>
        </is>
      </c>
    </row>
    <row r="32">
      <c r="A32" s="39" t="inlineStr">
        <is>
          <t>Drywall sanding + prime</t>
        </is>
      </c>
      <c r="B32" s="39" t="inlineStr">
        <is>
          <t>Not Started</t>
        </is>
      </c>
      <c r="C32" s="41" t="n"/>
      <c r="D32" s="41" t="n"/>
      <c r="E32" s="41" t="n"/>
      <c r="F32" s="41" t="n"/>
    </row>
    <row r="33">
      <c r="A33" s="43" t="inlineStr">
        <is>
          <t>Paint — primer coat</t>
        </is>
      </c>
      <c r="B33" s="43" t="inlineStr">
        <is>
          <t>Not Started</t>
        </is>
      </c>
      <c r="C33" s="44" t="n"/>
      <c r="D33" s="44" t="n"/>
      <c r="E33" s="44" t="n"/>
      <c r="F33" s="44" t="n"/>
    </row>
    <row r="34">
      <c r="A34" s="39" t="inlineStr">
        <is>
          <t>Paint — finish coats (walls + ceilings)</t>
        </is>
      </c>
      <c r="B34" s="39" t="inlineStr">
        <is>
          <t>Not Started</t>
        </is>
      </c>
      <c r="C34" s="41" t="n"/>
      <c r="D34" s="41" t="n"/>
      <c r="E34" s="41" t="n"/>
      <c r="F34" s="41" t="n"/>
    </row>
    <row r="35">
      <c r="A35" s="43" t="inlineStr">
        <is>
          <t>Flooring installation</t>
        </is>
      </c>
      <c r="B35" s="43" t="inlineStr">
        <is>
          <t>Not Started</t>
        </is>
      </c>
      <c r="C35" s="44" t="n"/>
      <c r="D35" s="44" t="n"/>
      <c r="E35" s="44" t="n"/>
      <c r="F35" s="44" t="n"/>
    </row>
    <row r="36">
      <c r="A36" s="39" t="inlineStr">
        <is>
          <t>Cabinet installation</t>
        </is>
      </c>
      <c r="B36" s="39" t="inlineStr">
        <is>
          <t>Not Started</t>
        </is>
      </c>
      <c r="C36" s="41" t="n"/>
      <c r="D36" s="41" t="n"/>
      <c r="E36" s="41" t="n"/>
      <c r="F36" s="41" t="n"/>
    </row>
    <row r="37">
      <c r="A37" s="43" t="inlineStr">
        <is>
          <t>Tile work (bathrooms, backsplash)</t>
        </is>
      </c>
      <c r="B37" s="43" t="inlineStr">
        <is>
          <t>Not Started</t>
        </is>
      </c>
      <c r="C37" s="44" t="n"/>
      <c r="D37" s="44" t="n"/>
      <c r="E37" s="44" t="n"/>
      <c r="F37" s="44" t="n"/>
    </row>
    <row r="38"/>
    <row r="39">
      <c r="A39" s="29" t="inlineStr">
        <is>
          <t>WEEK 4 — FIXTURES &amp; DETAILS</t>
        </is>
      </c>
    </row>
    <row r="40">
      <c r="A40" s="39" t="inlineStr">
        <is>
          <t>Countertop installation</t>
        </is>
      </c>
      <c r="B40" s="39" t="inlineStr">
        <is>
          <t>Not Started</t>
        </is>
      </c>
      <c r="C40" s="41" t="n"/>
      <c r="D40" s="41" t="n"/>
      <c r="E40" s="41" t="n"/>
      <c r="F40" s="41" t="n"/>
    </row>
    <row r="41">
      <c r="A41" s="43" t="inlineStr">
        <is>
          <t>Plumbing fixtures (faucets, toilets, sinks)</t>
        </is>
      </c>
      <c r="B41" s="43" t="inlineStr">
        <is>
          <t>Not Started</t>
        </is>
      </c>
      <c r="C41" s="44" t="n"/>
      <c r="D41" s="44" t="n"/>
      <c r="E41" s="44" t="n"/>
      <c r="F41" s="44" t="n"/>
    </row>
    <row r="42">
      <c r="A42" s="39" t="inlineStr">
        <is>
          <t>Electrical fixtures (lights, outlets, switches)</t>
        </is>
      </c>
      <c r="B42" s="39" t="inlineStr">
        <is>
          <t>Not Started</t>
        </is>
      </c>
      <c r="C42" s="41" t="n"/>
      <c r="D42" s="41" t="n"/>
      <c r="E42" s="41" t="n"/>
      <c r="F42" s="41" t="n"/>
    </row>
    <row r="43">
      <c r="A43" s="43" t="inlineStr">
        <is>
          <t>Appliance installation</t>
        </is>
      </c>
      <c r="B43" s="43" t="inlineStr">
        <is>
          <t>Not Started</t>
        </is>
      </c>
      <c r="C43" s="44" t="n"/>
      <c r="D43" s="44" t="n"/>
      <c r="E43" s="44" t="n"/>
      <c r="F43" s="44" t="n"/>
    </row>
    <row r="44">
      <c r="A44" s="39" t="inlineStr">
        <is>
          <t>Door hardware</t>
        </is>
      </c>
      <c r="B44" s="39" t="inlineStr">
        <is>
          <t>Not Started</t>
        </is>
      </c>
      <c r="C44" s="41" t="n"/>
      <c r="D44" s="41" t="n"/>
      <c r="E44" s="41" t="n"/>
      <c r="F44" s="41" t="n"/>
    </row>
    <row r="45">
      <c r="A45" s="43" t="inlineStr">
        <is>
          <t>Backsplash completion</t>
        </is>
      </c>
      <c r="B45" s="43" t="inlineStr">
        <is>
          <t>Not Started</t>
        </is>
      </c>
      <c r="C45" s="44" t="n"/>
      <c r="D45" s="44" t="n"/>
      <c r="E45" s="44" t="n"/>
      <c r="F45" s="44" t="n"/>
    </row>
    <row r="46">
      <c r="A46" s="39" t="inlineStr">
        <is>
          <t>Paint touch-up (all trim, doors)</t>
        </is>
      </c>
      <c r="B46" s="39" t="inlineStr">
        <is>
          <t>Not Started</t>
        </is>
      </c>
      <c r="C46" s="41" t="n"/>
      <c r="D46" s="41" t="n"/>
      <c r="E46" s="41" t="n"/>
      <c r="F46" s="41" t="n"/>
    </row>
    <row r="47"/>
    <row r="48">
      <c r="A48" s="29" t="inlineStr">
        <is>
          <t>WEEK 5 — PUNCH LIST &amp; CLOSE OUT</t>
        </is>
      </c>
    </row>
    <row r="49">
      <c r="A49" s="39" t="inlineStr">
        <is>
          <t>Final walkthrough with contractor</t>
        </is>
      </c>
      <c r="B49" s="39" t="inlineStr">
        <is>
          <t>Not Started</t>
        </is>
      </c>
      <c r="C49" s="41" t="n"/>
      <c r="D49" s="41" t="n"/>
      <c r="E49" s="41" t="n"/>
      <c r="F49" s="41" t="n"/>
    </row>
    <row r="50">
      <c r="A50" s="43" t="inlineStr">
        <is>
          <t>Punch list items addressed</t>
        </is>
      </c>
      <c r="B50" s="43" t="inlineStr">
        <is>
          <t>Not Started</t>
        </is>
      </c>
      <c r="C50" s="44" t="n"/>
      <c r="D50" s="44" t="n"/>
      <c r="E50" s="44" t="n"/>
      <c r="F50" s="44" t="n"/>
    </row>
    <row r="51">
      <c r="A51" s="39" t="inlineStr">
        <is>
          <t>Final inspections (building, mechanical)</t>
        </is>
      </c>
      <c r="B51" s="39" t="inlineStr">
        <is>
          <t>Not Started</t>
        </is>
      </c>
      <c r="C51" s="41" t="n"/>
      <c r="D51" s="41" t="n"/>
      <c r="E51" s="41" t="n"/>
      <c r="F51" s="41" t="n"/>
    </row>
    <row r="52">
      <c r="A52" s="43" t="inlineStr">
        <is>
          <t>Carpet installation (if applicable)</t>
        </is>
      </c>
      <c r="B52" s="43" t="inlineStr">
        <is>
          <t>Not Started</t>
        </is>
      </c>
      <c r="C52" s="44" t="n"/>
      <c r="D52" s="44" t="n"/>
      <c r="E52" s="44" t="n"/>
      <c r="F52" s="44" t="n"/>
    </row>
    <row r="53">
      <c r="A53" s="39" t="inlineStr">
        <is>
          <t>Deep cleaning (professional)</t>
        </is>
      </c>
      <c r="B53" s="39" t="inlineStr">
        <is>
          <t>Not Started</t>
        </is>
      </c>
      <c r="C53" s="41" t="n"/>
      <c r="D53" s="41" t="n"/>
      <c r="E53" s="41" t="n"/>
      <c r="F53" s="41" t="n"/>
    </row>
    <row r="54">
      <c r="A54" s="43" t="inlineStr">
        <is>
          <t>Landscaping / curb appeal</t>
        </is>
      </c>
      <c r="B54" s="43" t="inlineStr">
        <is>
          <t>Not Started</t>
        </is>
      </c>
      <c r="C54" s="44" t="n"/>
      <c r="D54" s="44" t="n"/>
      <c r="E54" s="44" t="n"/>
      <c r="F54" s="44" t="n"/>
    </row>
    <row r="55"/>
    <row r="56">
      <c r="A56" s="29" t="inlineStr">
        <is>
          <t>LISTING PREPARATION</t>
        </is>
      </c>
    </row>
    <row r="57">
      <c r="A57" s="39" t="inlineStr">
        <is>
          <t>Staging (furniture + decor)</t>
        </is>
      </c>
      <c r="B57" s="39" t="inlineStr">
        <is>
          <t>Not Started</t>
        </is>
      </c>
      <c r="C57" s="41" t="n"/>
      <c r="D57" s="41" t="n"/>
      <c r="E57" s="41" t="n"/>
      <c r="F57" s="41" t="n"/>
    </row>
    <row r="58">
      <c r="A58" s="43" t="inlineStr">
        <is>
          <t>Professional photography</t>
        </is>
      </c>
      <c r="B58" s="43" t="inlineStr">
        <is>
          <t>Not Started</t>
        </is>
      </c>
      <c r="C58" s="44" t="n"/>
      <c r="D58" s="44" t="n"/>
      <c r="E58" s="44" t="n"/>
      <c r="F58" s="44" t="n"/>
    </row>
    <row r="59">
      <c r="A59" s="39" t="inlineStr">
        <is>
          <t>Listing prep (description, disclosures)</t>
        </is>
      </c>
      <c r="B59" s="39" t="inlineStr">
        <is>
          <t>Not Started</t>
        </is>
      </c>
      <c r="C59" s="41" t="n"/>
      <c r="D59" s="41" t="n"/>
      <c r="E59" s="41" t="n"/>
      <c r="F59" s="41" t="n"/>
    </row>
    <row r="60">
      <c r="A60" s="43" t="inlineStr">
        <is>
          <t>Schedule open house</t>
        </is>
      </c>
      <c r="B60" s="43" t="inlineStr">
        <is>
          <t>Not Started</t>
        </is>
      </c>
      <c r="C60" s="44" t="n"/>
      <c r="D60" s="44" t="n"/>
      <c r="E60" s="44" t="n"/>
      <c r="F60" s="44" t="n"/>
    </row>
    <row r="61">
      <c r="A61" s="39" t="inlineStr">
        <is>
          <t>MLS listing live</t>
        </is>
      </c>
      <c r="B61" s="39" t="inlineStr">
        <is>
          <t>Not Started</t>
        </is>
      </c>
      <c r="C61" s="41" t="n"/>
      <c r="D61" s="41" t="n"/>
      <c r="E61" s="41" t="n"/>
      <c r="F61" s="41" t="n"/>
    </row>
    <row r="62">
      <c r="A62" s="43" t="inlineStr">
        <is>
          <t>Lockbox for showings</t>
        </is>
      </c>
      <c r="B62" s="43" t="inlineStr">
        <is>
          <t>Not Started</t>
        </is>
      </c>
      <c r="C62" s="44" t="n"/>
      <c r="D62" s="44" t="n"/>
      <c r="E62" s="44" t="n"/>
      <c r="F62" s="44" t="n"/>
    </row>
  </sheetData>
  <mergeCells count="8">
    <mergeCell ref="A14:F14"/>
    <mergeCell ref="A1:F1"/>
    <mergeCell ref="A23:F23"/>
    <mergeCell ref="A31:F31"/>
    <mergeCell ref="A56:F56"/>
    <mergeCell ref="A4:F4"/>
    <mergeCell ref="A48:F48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2026-02-24T22:19:03Z</dcterms:created>
  <dcterms:modified xmlns:dcterms="http://purl.org/dc/terms/" xmlns:xsi="http://www.w3.org/2001/XMLSchema-instance" xsi:type="dcterms:W3CDTF">2026-02-24T22:19:03Z</dcterms:modified>
</cp:coreProperties>
</file>