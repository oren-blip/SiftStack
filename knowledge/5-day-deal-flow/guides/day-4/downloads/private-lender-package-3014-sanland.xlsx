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4da157195e143a57/SiftStack/output/lender/3014_Sanland_Ave/"/>
    </mc:Choice>
  </mc:AlternateContent>
  <xr:revisionPtr revIDLastSave="4" documentId="11_09308C5B585A42A5A179AA7B176F80DF3C9A6C6D" xr6:coauthVersionLast="47" xr6:coauthVersionMax="47" xr10:uidLastSave="{0DA37391-3DF8-4BCA-AD52-D3CBAF330511}"/>
  <bookViews>
    <workbookView xWindow="28680" yWindow="-120" windowWidth="29040" windowHeight="15720" activeTab="5" xr2:uid="{00000000-000D-0000-FFFF-FFFF00000000}"/>
  </bookViews>
  <sheets>
    <sheet name="Deal Overview" sheetId="1" r:id="rId1"/>
    <sheet name="Your Investment" sheetId="2" r:id="rId2"/>
    <sheet name="Term Sheet" sheetId="3" r:id="rId3"/>
    <sheet name="Repair Costs" sheetId="4" r:id="rId4"/>
    <sheet name="Resale Value" sheetId="5" r:id="rId5"/>
    <sheet name="Comps" sheetId="6" r:id="rId6"/>
    <sheet name="Backups and Risk" sheetId="7" r:id="rId7"/>
  </sheets>
  <definedNames>
    <definedName name="AnnYield">'Deal Overview'!$F$55</definedName>
    <definedName name="ARV">'Deal Overview'!$C$13</definedName>
    <definedName name="ARVHi">'Deal Overview'!$C$18</definedName>
    <definedName name="ARVLo">'Deal Overview'!$C$17</definedName>
    <definedName name="AsIs">'Deal Overview'!$C$14</definedName>
    <definedName name="BorrowerCash">'Deal Overview'!$C$55</definedName>
    <definedName name="BuyCosts">'Deal Overview'!$F$29</definedName>
    <definedName name="CoverFloor">'Deal Overview'!$F$62</definedName>
    <definedName name="CoverPoint">'Deal Overview'!$C$62</definedName>
    <definedName name="DayOne">'Deal Overview'!$C$58</definedName>
    <definedName name="DayOneCover">'Deal Overview'!$C$63</definedName>
    <definedName name="Draws">'Deal Overview'!$C$59</definedName>
    <definedName name="Equity">'Deal Overview'!$F$50</definedName>
    <definedName name="EquityPct">'Deal Overview'!$F$61</definedName>
    <definedName name="ExtraCash">'Deal Overview'!$C$65</definedName>
    <definedName name="FinCosts">'Deal Overview'!$C$30</definedName>
    <definedName name="HoldMonthly">'Deal Overview'!$F$21</definedName>
    <definedName name="HoldMonths">'Deal Overview'!$C$19</definedName>
    <definedName name="HoldTotal">'Deal Overview'!$F$22</definedName>
    <definedName name="Interest">'Deal Overview'!$C$27</definedName>
    <definedName name="LenderIncome">'Deal Overview'!$F$54</definedName>
    <definedName name="Loan">'Deal Overview'!$C$25</definedName>
    <definedName name="LTV">'Deal Overview'!$F$49</definedName>
    <definedName name="MinIntAmt">'Deal Overview'!$C$28</definedName>
    <definedName name="MinIntMonths">'Deal Overview'!$C$29</definedName>
    <definedName name="MinIntPct">'Deal Overview'!$B$28</definedName>
    <definedName name="NetHi">'Deal Overview'!$C$61</definedName>
    <definedName name="NetLo">'Deal Overview'!$F$60</definedName>
    <definedName name="NetPoint">'Deal Overview'!$C$60</definedName>
    <definedName name="NetProfit">'Deal Overview'!$C$44</definedName>
    <definedName name="Payoff">'Deal Overview'!$F$48</definedName>
    <definedName name="PerDraw">'Deal Overview'!$F$59</definedName>
    <definedName name="Points">'Deal Overview'!$B$26</definedName>
    <definedName name="PointsAmt">'Deal Overview'!$C$26</definedName>
    <definedName name="ProfitHi">'Deal Overview'!$C$64</definedName>
    <definedName name="ProfitLo">'Deal Overview'!$F$63</definedName>
    <definedName name="Purchase">'Deal Overview'!$C$16</definedName>
    <definedName name="Rate">'Deal Overview'!$B$27</definedName>
    <definedName name="RehabTotal">'Repair Costs'!$G$28</definedName>
    <definedName name="RehabTranche">'Deal Overview'!$F$58</definedName>
    <definedName name="SellCosts">'Deal Overview'!$F$40</definedName>
    <definedName name="SellFixed">'Deal Overview'!$F$41</definedName>
    <definedName name="SellVarPct">'Deal Overview'!$E$41</definedName>
    <definedName name="TargetLoan">'Deal Overview'!$F$64</definedName>
    <definedName name="TitlePct">'Deal Overview'!$E$26</definedName>
    <definedName name="TotalCost">'Deal Overview'!$C$54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7" l="1"/>
  <c r="B15" i="7"/>
  <c r="B14" i="6"/>
  <c r="H12" i="6"/>
  <c r="G12" i="6"/>
  <c r="C12" i="6"/>
  <c r="H11" i="6"/>
  <c r="G11" i="6"/>
  <c r="C11" i="6"/>
  <c r="H10" i="6"/>
  <c r="H9" i="6"/>
  <c r="H8" i="6"/>
  <c r="H7" i="6"/>
  <c r="H6" i="6"/>
  <c r="B17" i="5"/>
  <c r="B10" i="5"/>
  <c r="B9" i="5"/>
  <c r="B8" i="5"/>
  <c r="B7" i="5"/>
  <c r="B6" i="5"/>
  <c r="G29" i="4"/>
  <c r="G28" i="4"/>
  <c r="G26" i="4"/>
  <c r="G25" i="4"/>
  <c r="G24" i="4"/>
  <c r="G22" i="4"/>
  <c r="G21" i="4"/>
  <c r="G20" i="4"/>
  <c r="G18" i="4"/>
  <c r="G17" i="4"/>
  <c r="G16" i="4"/>
  <c r="G15" i="4"/>
  <c r="G14" i="4"/>
  <c r="G13" i="4"/>
  <c r="G11" i="4"/>
  <c r="G10" i="4"/>
  <c r="B18" i="3"/>
  <c r="B17" i="3"/>
  <c r="B16" i="3"/>
  <c r="B15" i="3"/>
  <c r="B13" i="3"/>
  <c r="A39" i="2"/>
  <c r="B38" i="2"/>
  <c r="B37" i="2"/>
  <c r="B36" i="2"/>
  <c r="B35" i="2"/>
  <c r="B34" i="2"/>
  <c r="B28" i="2"/>
  <c r="B27" i="2"/>
  <c r="B24" i="2"/>
  <c r="B11" i="2"/>
  <c r="B10" i="2"/>
  <c r="B9" i="2"/>
  <c r="B6" i="2"/>
  <c r="F64" i="1"/>
  <c r="C65" i="1" s="1"/>
  <c r="B18" i="7" s="1"/>
  <c r="F55" i="1"/>
  <c r="F54" i="1"/>
  <c r="F50" i="1"/>
  <c r="F61" i="1" s="1"/>
  <c r="F49" i="1"/>
  <c r="C48" i="1"/>
  <c r="F47" i="1"/>
  <c r="C47" i="1"/>
  <c r="F41" i="1"/>
  <c r="E41" i="1"/>
  <c r="F40" i="1"/>
  <c r="F35" i="1"/>
  <c r="F34" i="1"/>
  <c r="C30" i="1"/>
  <c r="C50" i="1" s="1"/>
  <c r="F29" i="1"/>
  <c r="C52" i="1" s="1"/>
  <c r="C28" i="1"/>
  <c r="B28" i="1"/>
  <c r="C27" i="1"/>
  <c r="F48" i="1" s="1"/>
  <c r="F26" i="1"/>
  <c r="C26" i="1"/>
  <c r="F21" i="1"/>
  <c r="F22" i="1" s="1"/>
  <c r="C51" i="1" s="1"/>
  <c r="F15" i="1"/>
  <c r="F13" i="1"/>
  <c r="C58" i="1" l="1"/>
  <c r="C55" i="1"/>
  <c r="C54" i="1"/>
  <c r="C49" i="1"/>
  <c r="C21" i="1"/>
  <c r="C15" i="1"/>
  <c r="C61" i="1"/>
  <c r="F60" i="1"/>
  <c r="B11" i="5"/>
  <c r="B25" i="2"/>
  <c r="C60" i="1"/>
  <c r="C53" i="1"/>
  <c r="C44" i="1"/>
  <c r="F44" i="1" s="1"/>
  <c r="E40" i="1"/>
  <c r="B20" i="3"/>
  <c r="B12" i="2"/>
  <c r="B29" i="2"/>
  <c r="F58" i="1" l="1"/>
  <c r="C63" i="1"/>
  <c r="B18" i="5" s="1"/>
  <c r="B7" i="2"/>
  <c r="B24" i="3"/>
  <c r="A19" i="7"/>
  <c r="F51" i="1"/>
  <c r="F62" i="1"/>
  <c r="B8" i="7"/>
  <c r="F63" i="1"/>
  <c r="A31" i="2" s="1"/>
  <c r="F53" i="1"/>
  <c r="C62" i="1"/>
  <c r="B26" i="2"/>
  <c r="B30" i="2"/>
  <c r="B12" i="5"/>
  <c r="F52" i="1"/>
  <c r="B7" i="7"/>
  <c r="C64" i="1"/>
  <c r="B8" i="2" l="1"/>
  <c r="F59" i="1"/>
  <c r="D8" i="7"/>
  <c r="C8" i="7"/>
  <c r="C7" i="7"/>
  <c r="D7" i="7"/>
</calcChain>
</file>

<file path=xl/sharedStrings.xml><?xml version="1.0" encoding="utf-8"?>
<sst xmlns="http://schemas.openxmlformats.org/spreadsheetml/2006/main" count="424" uniqueCount="364">
  <si>
    <t>The Private Lender Package</t>
  </si>
  <si>
    <t>3014 Sanland Ave, Knoxville, TN 37914</t>
  </si>
  <si>
    <t>Blue cells are yours to change. Grey cells calculate off them. This page is laid out the same way as our Repair Estimator so the numbers sit where you expect them.</t>
  </si>
  <si>
    <t>Property</t>
  </si>
  <si>
    <t>Property Address</t>
  </si>
  <si>
    <t>Number of Units</t>
  </si>
  <si>
    <t>Total Square Footage</t>
  </si>
  <si>
    <t>Occupied (Y/N)</t>
  </si>
  <si>
    <t>N</t>
  </si>
  <si>
    <t>Beds / Baths</t>
  </si>
  <si>
    <t>3 / 1</t>
  </si>
  <si>
    <t>Year Built</t>
  </si>
  <si>
    <t>County / Parcel</t>
  </si>
  <si>
    <t>Knox / 071ia015 (verify on the title commitment)</t>
  </si>
  <si>
    <t>Date Prepared</t>
  </si>
  <si>
    <t>2026-08-16</t>
  </si>
  <si>
    <t>Property Description: Renovate and resell to a retail buyer (fix and flip). Vacant and unfinanceable in current condition. Hoarding-level contents throughout, active ceiling failure in two to three rooms from a long standing roof leak, carport roof framing rotted at the fascia and decking, heavy vine growth on the siding, original 1960s to 1970s paneling. Kitchen and single bath are dated but intact. Crawlspace confirmed on the walk as a dirt floor crawl with CMU perimeter, not a basement, so there is no unpermitted square footage.</t>
  </si>
  <si>
    <t>Property Values &amp; Pricing</t>
  </si>
  <si>
    <t>Holding Costs (Monthly)</t>
  </si>
  <si>
    <t>Annually</t>
  </si>
  <si>
    <t>Monthly</t>
  </si>
  <si>
    <t>After Repair Value</t>
  </si>
  <si>
    <t>Property Taxes</t>
  </si>
  <si>
    <t>Current As-Is Value</t>
  </si>
  <si>
    <t>HOA and Condo Fees</t>
  </si>
  <si>
    <t>Estimated Repair Costs</t>
  </si>
  <si>
    <t>Insurance Costs</t>
  </si>
  <si>
    <t>Purchase Price</t>
  </si>
  <si>
    <t>Utilities: Gas</t>
  </si>
  <si>
    <t>Resale Band Low (stress test)</t>
  </si>
  <si>
    <t>Utilities: Water</t>
  </si>
  <si>
    <t>Resale Band High</t>
  </si>
  <si>
    <t>Utilities: Electricity</t>
  </si>
  <si>
    <t>Estimated Hold Time (months)</t>
  </si>
  <si>
    <t>Lawn and Other</t>
  </si>
  <si>
    <t>Miscellaneous Holding Costs</t>
  </si>
  <si>
    <t>Purchase and Repair Costs:</t>
  </si>
  <si>
    <t>Total Monthly Holding Costs:</t>
  </si>
  <si>
    <t>Total Holding Costs (over the hold):</t>
  </si>
  <si>
    <t>Financing Costs</t>
  </si>
  <si>
    <t>Rate</t>
  </si>
  <si>
    <t>Total</t>
  </si>
  <si>
    <t>Buying Transaction Costs</t>
  </si>
  <si>
    <t>Perc. Of Purch</t>
  </si>
  <si>
    <t>Private Lender Loan Amount</t>
  </si>
  <si>
    <t>Escrow / Attorney Fees</t>
  </si>
  <si>
    <t>Loan Points</t>
  </si>
  <si>
    <t>Title Insurance / Search</t>
  </si>
  <si>
    <t>Loan Interest</t>
  </si>
  <si>
    <t>Recording Fees</t>
  </si>
  <si>
    <t>Guaranteed Minimum Interest</t>
  </si>
  <si>
    <t>Miscellaneous Buying Costs</t>
  </si>
  <si>
    <t>Minimum Interest (months)</t>
  </si>
  <si>
    <t>Total Buying Transaction Costs:</t>
  </si>
  <si>
    <t>Total Financing Costs:</t>
  </si>
  <si>
    <t>Selling Transaction Costs</t>
  </si>
  <si>
    <t>Perc. Of ARV</t>
  </si>
  <si>
    <t>Selling Recording Fees</t>
  </si>
  <si>
    <t>Realtor Fees</t>
  </si>
  <si>
    <t>Transfer and Conveyance Fees</t>
  </si>
  <si>
    <t>Home Warranty</t>
  </si>
  <si>
    <t>Staging Costs</t>
  </si>
  <si>
    <t>Marketing Costs</t>
  </si>
  <si>
    <t>Miscellaneous Selling Costs</t>
  </si>
  <si>
    <t>Total Selling Transaction Costs:</t>
  </si>
  <si>
    <t>Fixed portion / variable rate</t>
  </si>
  <si>
    <t>Estimated Net Profit and ROI Snapshot</t>
  </si>
  <si>
    <t>Estimated NET PROFIT</t>
  </si>
  <si>
    <t>Total Costs Return on Investment (ROI)</t>
  </si>
  <si>
    <t>Purchase and Deal Analysis</t>
  </si>
  <si>
    <t>Lender Coverage and Return</t>
  </si>
  <si>
    <t>Loan Amount</t>
  </si>
  <si>
    <t>Total Payoff To Lender</t>
  </si>
  <si>
    <t>Loan to After Repair Value</t>
  </si>
  <si>
    <t>Total Financing Costs</t>
  </si>
  <si>
    <t>Equity Cushion</t>
  </si>
  <si>
    <t>Total Holding Costs</t>
  </si>
  <si>
    <t>Day One Coverage</t>
  </si>
  <si>
    <t>Total Buying Transaction Costs</t>
  </si>
  <si>
    <t>Coverage at the Ask</t>
  </si>
  <si>
    <t>Total Selling Transaction Costs</t>
  </si>
  <si>
    <t>Coverage at the Band Floor</t>
  </si>
  <si>
    <t>TOTAL PROJECT COST</t>
  </si>
  <si>
    <t>Total Income To Lender</t>
  </si>
  <si>
    <t>Borrower Cash Into The Deal</t>
  </si>
  <si>
    <t>Annualized Yield To Lender</t>
  </si>
  <si>
    <t>Supporting Calculations</t>
  </si>
  <si>
    <t>Advance at Closing</t>
  </si>
  <si>
    <t>Held Back for Repairs</t>
  </si>
  <si>
    <t>Number of Draws</t>
  </si>
  <si>
    <t>Size of Each Draw</t>
  </si>
  <si>
    <t>Net Proceeds at the Ask</t>
  </si>
  <si>
    <t>Net Proceeds at the Band Floor</t>
  </si>
  <si>
    <t>Net Proceeds at the Band High</t>
  </si>
  <si>
    <t>Equity Cushion, % of ARV</t>
  </si>
  <si>
    <t>Our Profit at the Band Floor</t>
  </si>
  <si>
    <t>Our Profit at the Band High</t>
  </si>
  <si>
    <t>Loan at the 75% Ceiling</t>
  </si>
  <si>
    <t>Extra Cash to Reach 75%</t>
  </si>
  <si>
    <t>Your Investment</t>
  </si>
  <si>
    <t>What you put in, how it is secured, when it comes back, and what you earn.</t>
  </si>
  <si>
    <t>What You Are Funding</t>
  </si>
  <si>
    <t>Loan amount</t>
  </si>
  <si>
    <t>Set on Deal Overview</t>
  </si>
  <si>
    <t>Advance at closing</t>
  </si>
  <si>
    <t>Wired to the closing attorney's escrow, never to us</t>
  </si>
  <si>
    <t>Held back for repairs</t>
  </si>
  <si>
    <t>Zero when there is no repair scope</t>
  </si>
  <si>
    <t>Interest rate</t>
  </si>
  <si>
    <t>Simple, on the balance</t>
  </si>
  <si>
    <t>Term</t>
  </si>
  <si>
    <t>Payoff comes at the sale, earlier if the sale is earlier</t>
  </si>
  <si>
    <t>Interest you are paid</t>
  </si>
  <si>
    <t>A flat figure, quoted for the full term</t>
  </si>
  <si>
    <t>Guaranteed minimum</t>
  </si>
  <si>
    <t>Earned even if it sells in thirty days</t>
  </si>
  <si>
    <t>How It Is Secured</t>
  </si>
  <si>
    <t>Collateral</t>
  </si>
  <si>
    <t>3014 Sanland Ave, Knoxville, TN 37914, parcel 071ia015 (verify on the title commitment)</t>
  </si>
  <si>
    <t>Lien position</t>
  </si>
  <si>
    <t>First lien, deed of trust</t>
  </si>
  <si>
    <t>Recorded</t>
  </si>
  <si>
    <t>Knox County Register of Deeds, closing day</t>
  </si>
  <si>
    <t>Title insurance</t>
  </si>
  <si>
    <t>Lender's policy in your name for the full loan amount, paid out of the loan</t>
  </si>
  <si>
    <t>Hazard insurance</t>
  </si>
  <si>
    <t>In force before funds disburse, with you named as mortgagee and loss payee, so a claim check comes to you</t>
  </si>
  <si>
    <t>Personal guarantee</t>
  </si>
  <si>
    <t>Every member of the company guarantees the note. If we ever default we liquidate immediately and the guarantee covers any shortfall including the interest still owed.</t>
  </si>
  <si>
    <t>Pooling</t>
  </si>
  <si>
    <t>None. Your money is secured against this one property.</t>
  </si>
  <si>
    <t>What You Get Paid At The Closing Table</t>
  </si>
  <si>
    <t>Sale price at the ask</t>
  </si>
  <si>
    <t>Less selling transaction costs</t>
  </si>
  <si>
    <t>Net proceeds</t>
  </si>
  <si>
    <t>Paid first: your principal</t>
  </si>
  <si>
    <t>Paid first: your interest and points</t>
  </si>
  <si>
    <t>TOTAL TO YOU</t>
  </si>
  <si>
    <t>What is left for us</t>
  </si>
  <si>
    <t>What You Earn</t>
  </si>
  <si>
    <t>Interest income</t>
  </si>
  <si>
    <t>Points income</t>
  </si>
  <si>
    <t>TOTAL INCOME TO YOU</t>
  </si>
  <si>
    <t>Annualized yield</t>
  </si>
  <si>
    <t>Same money in a 4% CD</t>
  </si>
  <si>
    <t>Same window, so it is a fair comparison</t>
  </si>
  <si>
    <t>Term Sheet</t>
  </si>
  <si>
    <t>Signature ready. Every dollar figure is live off Deal Overview.</t>
  </si>
  <si>
    <t>Parties</t>
  </si>
  <si>
    <t>Date</t>
  </si>
  <si>
    <t>Lender</t>
  </si>
  <si>
    <t>[LENDER LEGAL NAME]</t>
  </si>
  <si>
    <t>Borrower</t>
  </si>
  <si>
    <t>Volunteer Homebuyers Group LLC, a Tennessee limited liability company</t>
  </si>
  <si>
    <t>Guarantors</t>
  </si>
  <si>
    <t>[MEMBER 1 NAME], [MEMBER 2 NAME], [MEMBER 3 NAME], each individually</t>
  </si>
  <si>
    <t>3014 Sanland Ave, Knoxville, TN 37914 (parcel 071ia015 (verify on the title commitment))</t>
  </si>
  <si>
    <t>Terms</t>
  </si>
  <si>
    <t>Purpose</t>
  </si>
  <si>
    <t>Acquisition and renovation of the property</t>
  </si>
  <si>
    <t>Points and fees</t>
  </si>
  <si>
    <t>Interest paid</t>
  </si>
  <si>
    <t>Payments</t>
  </si>
  <si>
    <t>No monthly payments. Principal and all accrued interest are due in one payment at the earlier of the sale or the maturity date.</t>
  </si>
  <si>
    <t>Guaranteed minimum interest</t>
  </si>
  <si>
    <t>Prepayment</t>
  </si>
  <si>
    <t>Allowed at any time with no penalty, subject to the guaranteed minimum above</t>
  </si>
  <si>
    <t>Security</t>
  </si>
  <si>
    <t>First lien, deed of trust on 3014 Sanland Ave, recorded in Knox County, Tennessee</t>
  </si>
  <si>
    <t>Additional security</t>
  </si>
  <si>
    <t>Personal guarantee from every member of the company, plus the hazard policy naming the lender as mortgagee and loss payee</t>
  </si>
  <si>
    <t>Funding</t>
  </si>
  <si>
    <t>Costs</t>
  </si>
  <si>
    <t>The loan amount covers all closing costs, document preparation, recording fees and the lender's title policy premium, repaid with interest and backed by the personal guarantee.</t>
  </si>
  <si>
    <t>Default</t>
  </si>
  <si>
    <t>On an uncured default we move immediately to liquidate the property for as much as the market will pay, and the personal guarantee from every member of the company covers any amount still owed to the lender, including the interest still owed.</t>
  </si>
  <si>
    <t>Reporting</t>
  </si>
  <si>
    <t>Written update every two weeks, and you may inspect the property at any time without notice</t>
  </si>
  <si>
    <t>Governing law</t>
  </si>
  <si>
    <t>State of Tennessee</t>
  </si>
  <si>
    <t>Open until</t>
  </si>
  <si>
    <t>14 days from the date above</t>
  </si>
  <si>
    <t>This sets out the commercial terms both sides intend to document. It is not a loan commitment on its own and neither side is obligated until the promissory note, the guarantee and the deed of trust are signed.</t>
  </si>
  <si>
    <t>Agreed</t>
  </si>
  <si>
    <t>LENDER</t>
  </si>
  <si>
    <t>Signature</t>
  </si>
  <si>
    <t>__________________________________    Date: ____________</t>
  </si>
  <si>
    <t>BORROWER</t>
  </si>
  <si>
    <t>Volunteer Homebuyers Group LLC, by [SIGNER NAME], Managing Member</t>
  </si>
  <si>
    <t>GUARANTOR</t>
  </si>
  <si>
    <t>[MEMBER 1 NAME], individually</t>
  </si>
  <si>
    <t>[MEMBER 2 NAME], individually</t>
  </si>
  <si>
    <t>[MEMBER 3 NAME], individually</t>
  </si>
  <si>
    <t>Repair Costs</t>
  </si>
  <si>
    <t>Same grid as the Repair Estimator. Put a Y in the Include column, a quantity and a unit cost, and the line totals itself. The grand total feeds Estimated Repair Costs on Deal Overview.</t>
  </si>
  <si>
    <t>Address</t>
  </si>
  <si>
    <t>Square Footage</t>
  </si>
  <si>
    <t>Inspected By</t>
  </si>
  <si>
    <t>[INSPECTED BY]</t>
  </si>
  <si>
    <t>Category</t>
  </si>
  <si>
    <t>Include</t>
  </si>
  <si>
    <t>Repair Type</t>
  </si>
  <si>
    <t>Qty</t>
  </si>
  <si>
    <t>Unit</t>
  </si>
  <si>
    <t>Unit Cost</t>
  </si>
  <si>
    <t>Notes</t>
  </si>
  <si>
    <t>EXTERIOR</t>
  </si>
  <si>
    <t>Siding and Finish</t>
  </si>
  <si>
    <t>Y</t>
  </si>
  <si>
    <t>Siding repair, vine remediation and exterior paint</t>
  </si>
  <si>
    <t>ls</t>
  </si>
  <si>
    <t>Windows and Doors</t>
  </si>
  <si>
    <t>Nine replacement vinyl windows</t>
  </si>
  <si>
    <t>INTERIOR</t>
  </si>
  <si>
    <t>Kitchen</t>
  </si>
  <si>
    <t>Full kitchen: shaker cabinets, quartz counters, tile backsplash, stainless appliance set</t>
  </si>
  <si>
    <t>Bathroom</t>
  </si>
  <si>
    <t>Full bath gut, tiled tub walls, vanity and fixtures</t>
  </si>
  <si>
    <t>Flooring</t>
  </si>
  <si>
    <t>Luxury vinyl plank throughout</t>
  </si>
  <si>
    <t>Interior Painting</t>
  </si>
  <si>
    <t>Full repaint after the re-rock</t>
  </si>
  <si>
    <t>Walls and Ceilings</t>
  </si>
  <si>
    <t>Contents haul out, interior demo, full re-rock and insulation</t>
  </si>
  <si>
    <t>Framing and Structure</t>
  </si>
  <si>
    <t>Crawlspace repairs and carport structure</t>
  </si>
  <si>
    <t>MECHANICALS</t>
  </si>
  <si>
    <t>HVAC</t>
  </si>
  <si>
    <t>New heat pump and full duct</t>
  </si>
  <si>
    <t>Plumbing</t>
  </si>
  <si>
    <t>Repipe in PEX and new water heater</t>
  </si>
  <si>
    <t>Electrical</t>
  </si>
  <si>
    <t>Service, panel and partial rewire</t>
  </si>
  <si>
    <t>OTHER</t>
  </si>
  <si>
    <t>Permits and Soft Costs</t>
  </si>
  <si>
    <t>Permits, dumpsters, utilities during construction, contingency at 13%</t>
  </si>
  <si>
    <t>Flagged Items</t>
  </si>
  <si>
    <t>Roofing and sewer lateral, pending signed bids</t>
  </si>
  <si>
    <t>PLACEHOLDER pending signed bids. Covers the full roof tear off, re-deck and carport tie-in, plus the sewer lateral camera scope and repair allowance on a 1945 house. Carried at a realistic assumed cost so the grand total is always a real number. Replace with the quotes and this whole workbook re-prices itself.</t>
  </si>
  <si>
    <t>Owner-Managed Savings</t>
  </si>
  <si>
    <t>We run project management plus our own subs rather than a general contractor. This line is the difference.</t>
  </si>
  <si>
    <t>The stress case on Backups and Risk removes this line, which puts the budget back at full GC retail of $99,932.</t>
  </si>
  <si>
    <t>TOTAL REPAIR COSTS</t>
  </si>
  <si>
    <t>Lines included</t>
  </si>
  <si>
    <t>Resale Value</t>
  </si>
  <si>
    <t>Where the number we are asking comes from, and what the stress tests run on.</t>
  </si>
  <si>
    <t>The Numbers</t>
  </si>
  <si>
    <t>Resale band low, used by every stress test</t>
  </si>
  <si>
    <t>WORKING FIGURE, THE ASK</t>
  </si>
  <si>
    <t>Resale band high</t>
  </si>
  <si>
    <t>Working figure per square foot</t>
  </si>
  <si>
    <t>Band width</t>
  </si>
  <si>
    <t>Selling costs at the ask</t>
  </si>
  <si>
    <t>Net proceeds at the ask</t>
  </si>
  <si>
    <t>Five closed sales of renovated three bed, one bath houses between 900 and 1,008 square feet, all inside the same pocket, all within seven tenths of a mile, all closed in the last twelve months. The $225,000 working figure is the median of that set, not the average and not the top. Our own rule caps a house at the median of its bedroom band, so the $280,000 sale at 3229 Wilson isn't allowed to pull the number up and neither is the extra square footage. Every calculation in this workbook runs on $225,000, and every stress test runs on $209,000, the bottom of the band.</t>
  </si>
  <si>
    <t>As-Is Value Today</t>
  </si>
  <si>
    <t>As-is value</t>
  </si>
  <si>
    <t>Day one coverage against it</t>
  </si>
  <si>
    <t>What the house would sell for today, untouched, built from deed verified cash and entity purchases in the same pocket inside the investor size band and cross checked against the distressed bucket of the comp pull. This is the number your day one advance gets measured against, so it's the one that matters most on the first morning.</t>
  </si>
  <si>
    <t>Comps</t>
  </si>
  <si>
    <t>The closed sales behind the resale figure.</t>
  </si>
  <si>
    <t>Closed sales only. No listings and no automated estimates. The ones we threw out are on here too so you can see what we threw out and why.</t>
  </si>
  <si>
    <t>Dist</t>
  </si>
  <si>
    <t>SF</t>
  </si>
  <si>
    <t>Bd</t>
  </si>
  <si>
    <t>Ba</t>
  </si>
  <si>
    <t>Sold</t>
  </si>
  <si>
    <t>Price</t>
  </si>
  <si>
    <t>$/SF</t>
  </si>
  <si>
    <t>Why it is here</t>
  </si>
  <si>
    <t>2913 Sunset Ave</t>
  </si>
  <si>
    <t>0.23 mi</t>
  </si>
  <si>
    <t>2026-05-12</t>
  </si>
  <si>
    <t>THE ANCHOR. Median of the band and the closest match on size and configuration. Listing remarks confirm quartz counters, tile backsplash, stainless appliances, custom tile bath, new vinyl siding, gutters, roof and concrete carport. This is the exact finish level our budget is built to deliver.</t>
  </si>
  <si>
    <t>3220 Wilson Ave</t>
  </si>
  <si>
    <t>0.40 mi</t>
  </si>
  <si>
    <t>2026-04-16</t>
  </si>
  <si>
    <t>Most recent supporting sale. Full remodel with new flooring throughout, new windows and a new roof. Confirms the band holds at a slightly smaller footprint.</t>
  </si>
  <si>
    <t>2619 Wilson Ave</t>
  </si>
  <si>
    <t>0.68 mi</t>
  </si>
  <si>
    <t>2025-09-19</t>
  </si>
  <si>
    <t>Original character sale, not a full renovation. Shows the band floor tolerates a dated finish, which is downside protection for you.</t>
  </si>
  <si>
    <t>3517 Selma Ave</t>
  </si>
  <si>
    <t>0.58 mi</t>
  </si>
  <si>
    <t>2025-12-05</t>
  </si>
  <si>
    <t>BOTTOM OF THE BAND and the figure used in the stress case. New cabinets, counters and flooring with updated fixtures. Smallest house in the set.</t>
  </si>
  <si>
    <t>3229 Wilson Ave</t>
  </si>
  <si>
    <t>0.44 mi</t>
  </si>
  <si>
    <t>2025-12-08</t>
  </si>
  <si>
    <t>TOP OF THE BAND, shown for completeness and deliberately NOT used. Automated valuations on this house ran $180,000 to $198,000, so it very likely sold above its fundamentals. We exclude it from the working figure rather than lean on it.</t>
  </si>
  <si>
    <t>Average</t>
  </si>
  <si>
    <t>Median</t>
  </si>
  <si>
    <t>Our ask</t>
  </si>
  <si>
    <t>The comp band runs 34% wide, from $209,000 to $280,000. Our rule only lets us publish a single point number when a five comp set comes in under 30%, so treat $225,000 as the working figure and $209,000 as the number that still has to work. It does, but barely, and that's exactly why the coverage block reads the way it does.</t>
  </si>
  <si>
    <t>Year built didn't come through in the sold data feed for these five, so those cells are blank rather than guessed. All five are pre-1960 houses in the same platted subdivisions as the subject.</t>
  </si>
  <si>
    <t>Backups and Risk</t>
  </si>
  <si>
    <t>What happens if we are wrong, which is the only question that really matters on a private loan.</t>
  </si>
  <si>
    <t>Stress Tests</t>
  </si>
  <si>
    <t>Scenario</t>
  </si>
  <si>
    <t>You net</t>
  </si>
  <si>
    <t>Coverage</t>
  </si>
  <si>
    <t>Are you whole</t>
  </si>
  <si>
    <t>It sells at the ask</t>
  </si>
  <si>
    <t>It sells at the band floor</t>
  </si>
  <si>
    <t>The renovation runs at full GC retail instead of our own crew</t>
  </si>
  <si>
    <t>The budget moves from $87,192 to $99,932. The loan does not move, because it is fixed at closing. The overrun comes out of our profit.</t>
  </si>
  <si>
    <t>Yes, unchanged</t>
  </si>
  <si>
    <t>It sells at the bottom of the comp band, $209,000</t>
  </si>
  <si>
    <t>$196,477 net of selling costs against a $197,072 payoff. It comes up about $600 short and the personal guarantee covers it.</t>
  </si>
  <si>
    <t>Yes, by guarantee</t>
  </si>
  <si>
    <t>It takes the full nine months instead of the eighteen week plan</t>
  </si>
  <si>
    <t>Interest accrues to $16,272, which is already the figure used everywhere in this package. Nothing changes.</t>
  </si>
  <si>
    <t>We stop work and you take the house back mid-renovation</t>
  </si>
  <si>
    <t>You hold a house you are into for the draws released to that point, with a roof, systems and drywall already in it, in a pocket where finished product closes at $209,000 or better.</t>
  </si>
  <si>
    <t>Yes, by resale of the collateral</t>
  </si>
  <si>
    <t>Loan To Value, Said Out Loud</t>
  </si>
  <si>
    <t>This loan against the ask</t>
  </si>
  <si>
    <t>The usual private money ceiling</t>
  </si>
  <si>
    <t>Loan if we held to that ceiling</t>
  </si>
  <si>
    <t>Extra cash we would bring to get there</t>
  </si>
  <si>
    <t>Backup Exits, In The Order We Would Use Them</t>
  </si>
  <si>
    <t>Backup</t>
  </si>
  <si>
    <t>Proceeds</t>
  </si>
  <si>
    <t>Pays you off</t>
  </si>
  <si>
    <t>Why it works</t>
  </si>
  <si>
    <t>Sell the renovated house to a landlord or investor buyer instead of retail</t>
  </si>
  <si>
    <t>Yes</t>
  </si>
  <si>
    <t>Rental value on the finished product is roughly $1,600 a month, which supports an investor purchase in the high $190,000s. Slower to find, but it clears the payoff.</t>
  </si>
  <si>
    <t>Assign or resell the contract before we ever close</t>
  </si>
  <si>
    <t>Yes, in full and immediately</t>
  </si>
  <si>
    <t>We have a deed verified buyer list of 138 active cash buyers in this ZIP. If the deal has to unwind before renovation starts, the contract itself resells at roughly $104,500 and your loan is repaid out of that closing.</t>
  </si>
  <si>
    <t>Stop mid-renovation and sell the partially improved shell</t>
  </si>
  <si>
    <t>Draw dependent</t>
  </si>
  <si>
    <t>Yes at the early draws</t>
  </si>
  <si>
    <t>The draw structure exists precisely so that your exposure never runs ahead of the value in the building. A shell with a new roof and new systems sells to the same cash buyer pool for more than a shell without them.</t>
  </si>
  <si>
    <t>Refinance into a rental hold and pay you off at the refinance</t>
  </si>
  <si>
    <t>Partially, not our first choice</t>
  </si>
  <si>
    <t>A 75% loan to value refinance at the working ARV returns $168,750, which is short of the full payoff. We list this so you can see we have looked at it and rejected it, not because we intend to use it.</t>
  </si>
  <si>
    <t>What Could Go Sideways</t>
  </si>
  <si>
    <t>Risk</t>
  </si>
  <si>
    <t>How likely</t>
  </si>
  <si>
    <t>What it costs</t>
  </si>
  <si>
    <t>How we handle it</t>
  </si>
  <si>
    <t>Roof and structure scope is larger than the bid</t>
  </si>
  <si>
    <t>Moderate</t>
  </si>
  <si>
    <t>Roofing is carried as a $8,500 placeholder pending the roofer's signed bid</t>
  </si>
  <si>
    <t>The roofing line is a flagged placeholder in our own budget, not a guess buried in a category. The bid is being obtained before closing. If it comes back materially higher we renegotiate the purchase price or we walk, and this loan never funds.</t>
  </si>
  <si>
    <t>Sewer lateral failure on a 1945 house</t>
  </si>
  <si>
    <t>Camera scope is roughly $350, repair allowance carried in the budget</t>
  </si>
  <si>
    <t>Scoped before renovation starts, allowance already sitting in the budget rather than discovered later.</t>
  </si>
  <si>
    <t>Contents removal is larger than estimated</t>
  </si>
  <si>
    <t>Low to moderate</t>
  </si>
  <si>
    <t>Additional dumpster loads, low thousands</t>
  </si>
  <si>
    <t>Absorbed in the borrower's margin. It does not change the loan amount or your payoff.</t>
  </si>
  <si>
    <t>Retail market softens during the hold</t>
  </si>
  <si>
    <t>Low over a 4 to 6 month window</t>
  </si>
  <si>
    <t>Sale lands nearer $209,000 than $225,000</t>
  </si>
  <si>
    <t>The stress case on the coverage sheet runs exactly this. At the band floor the sale returns 0.98 times the payoff, so it is the personal guaranty and borrower cash that close the gap, not your principal. This is the single weakest point of the deal and it is the reason the lower loan alternative is offered.</t>
  </si>
  <si>
    <t>Loan sits above the conventional 75% loan to value ceiling</t>
  </si>
  <si>
    <t>Certain, it is 79.6% as structured</t>
  </si>
  <si>
    <t>Thinner cushion at the band floor</t>
  </si>
  <si>
    <t>Two answers. First, the draw structure means the full balance only exists once $87,192 of verified work is in the building. Second, we will bring $10,442 of additional cash to closing and write the loan at $168,750 if you prefer to sit at 75%. The choice is yours and we would rather you took it than felt talked into the larger number.</t>
  </si>
  <si>
    <t>The Worst Case, Plainly</t>
  </si>
  <si>
    <t>If we default, we do not make you chase us. We move immediately to liquidate the property for as much as the market will pay, and the personal guarantee from every member of the company covers whatever the sale does not, including the interest still owed. You also hold a recorded first lien and the original note, so you have every ordinary remedy on top of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</si>
</sst>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
    <numFmt numFmtId="166" formatCode="0.0"/>
    <numFmt numFmtId="167" formatCode="0.0%"/>
    <numFmt numFmtId="168" formatCode="0.00&quot;x&quot;"/>
  </numFmts>
  <fonts count="22" x14ac:knownFonts="1">
    <font>
      <sz val="11"/>
      <color theme="1"/>
      <name val="Calibri"/>
      <family val="2"/>
      <scheme val="minor"/>
    </font>
    <font>
      <b/>
      <sz val="15"/>
      <color rgb="FF0A1130"/>
      <name val="Calibri"/>
    </font>
    <font>
      <sz val="10.5"/>
      <color rgb="FF0A1130"/>
      <name val="Calibri"/>
    </font>
    <font>
      <sz val="9"/>
      <color rgb="FF666666"/>
      <name val="Calibri"/>
    </font>
    <font>
      <sz val="10"/>
      <name val="Calibri"/>
    </font>
    <font>
      <b/>
      <sz val="9"/>
      <color rgb="FFFFFFFF"/>
      <name val="Calibri"/>
    </font>
    <font>
      <b/>
      <sz val="10"/>
      <color rgb="FFFFFFFF"/>
      <name val="Calibri"/>
    </font>
    <font>
      <b/>
      <sz val="10"/>
      <name val="Calibri"/>
    </font>
    <font>
      <sz val="9.5"/>
      <color rgb="FF000000"/>
      <name val="Calibri"/>
    </font>
    <font>
      <sz val="10"/>
      <color rgb="FF000000"/>
      <name val="Calibri"/>
    </font>
    <font>
      <b/>
      <sz val="9.5"/>
      <color rgb="FFC00000"/>
      <name val="Calibri"/>
    </font>
    <font>
      <b/>
      <sz val="10"/>
      <color rgb="FFC00000"/>
      <name val="Calibri"/>
    </font>
    <font>
      <sz val="9"/>
      <color rgb="FFC00000"/>
      <name val="Calibri"/>
    </font>
    <font>
      <b/>
      <sz val="11"/>
      <color rgb="FF0A1130"/>
      <name val="Calibri"/>
    </font>
    <font>
      <b/>
      <sz val="11"/>
      <name val="Calibri"/>
    </font>
    <font>
      <b/>
      <sz val="11"/>
      <name val="Calibri"/>
    </font>
    <font>
      <sz val="8"/>
      <color rgb="FF666666"/>
      <name val="Calibri"/>
    </font>
    <font>
      <b/>
      <sz val="9"/>
      <color rgb="FF0A1130"/>
      <name val="Calibri"/>
    </font>
    <font>
      <sz val="9"/>
      <name val="Calibri"/>
    </font>
    <font>
      <sz val="10"/>
      <color rgb="FFB8860B"/>
      <name val="Calibri"/>
    </font>
    <font>
      <b/>
      <sz val="10"/>
      <color rgb="FF1B9E5A"/>
      <name val="Calibri"/>
    </font>
    <font>
      <b/>
      <sz val="10"/>
      <color rgb="FFB8860B"/>
      <name val="Calibri"/>
    </font>
  </fonts>
  <fills count="7">
    <fill>
      <patternFill patternType="none"/>
    </fill>
    <fill>
      <patternFill patternType="gray125"/>
    </fill>
    <fill>
      <patternFill patternType="solid">
        <fgColor rgb="FFF2F2F2"/>
      </patternFill>
    </fill>
    <fill>
      <patternFill patternType="solid">
        <fgColor rgb="FF44506B"/>
      </patternFill>
    </fill>
    <fill>
      <patternFill patternType="solid">
        <fgColor rgb="FF0A1130"/>
      </patternFill>
    </fill>
    <fill>
      <patternFill patternType="solid">
        <fgColor rgb="FFDCE6FA"/>
      </patternFill>
    </fill>
    <fill>
      <patternFill patternType="solid">
        <fgColor rgb="FFE4EAF4"/>
      </patternFill>
    </fill>
  </fills>
  <borders count="4">
    <border>
      <left/>
      <right/>
      <top/>
      <bottom/>
      <diagonal/>
    </border>
    <border>
      <left style="thin">
        <color rgb="FFC8D0E0"/>
      </left>
      <right style="thin">
        <color rgb="FFC8D0E0"/>
      </right>
      <top style="thin">
        <color rgb="FFC8D0E0"/>
      </top>
      <bottom style="thin">
        <color rgb="FFC8D0E0"/>
      </bottom>
      <diagonal/>
    </border>
    <border>
      <left/>
      <right style="thin">
        <color rgb="FFC8D0E0"/>
      </right>
      <top style="thin">
        <color rgb="FFC8D0E0"/>
      </top>
      <bottom style="thin">
        <color rgb="FFC8D0E0"/>
      </bottom>
      <diagonal/>
    </border>
    <border>
      <left/>
      <right/>
      <top style="thin">
        <color rgb="FFC8D0E0"/>
      </top>
      <bottom style="thin">
        <color rgb="FFC8D0E0"/>
      </bottom>
      <diagonal/>
    </border>
  </borders>
  <cellStyleXfs count="1">
    <xf numFmtId="0" fontId="0" fillId="0" borderId="0"/>
  </cellStyleXfs>
  <cellXfs count="81">
    <xf numFmtId="0" fontId="0" fillId="0" borderId="0" xfId="0"/>
    <xf numFmtId="0" fontId="1" fillId="0" borderId="0" xfId="0" applyFont="1"/>
    <xf numFmtId="0" fontId="2" fillId="0" borderId="0" xfId="0" applyFont="1"/>
    <xf numFmtId="0" fontId="3" fillId="0" borderId="0" xfId="0" applyFont="1"/>
    <xf numFmtId="0" fontId="6" fillId="4" borderId="1" xfId="0" applyFont="1" applyFill="1" applyBorder="1"/>
    <xf numFmtId="0" fontId="0" fillId="4" borderId="1" xfId="0" applyFill="1" applyBorder="1"/>
    <xf numFmtId="0" fontId="4" fillId="0" borderId="0" xfId="0" applyFont="1" applyAlignment="1">
      <alignment vertical="top"/>
    </xf>
    <xf numFmtId="0" fontId="4" fillId="2" borderId="1" xfId="0" applyFont="1" applyFill="1" applyBorder="1" applyAlignment="1">
      <alignment vertical="top"/>
    </xf>
    <xf numFmtId="0" fontId="4" fillId="0" borderId="0" xfId="0" applyFont="1" applyAlignment="1">
      <alignment vertical="center"/>
    </xf>
    <xf numFmtId="3" fontId="4" fillId="2" borderId="1" xfId="0" applyNumberFormat="1" applyFont="1" applyFill="1" applyBorder="1"/>
    <xf numFmtId="3" fontId="4" fillId="2" borderId="1" xfId="0" applyNumberFormat="1" applyFont="1" applyFill="1" applyBorder="1" applyAlignment="1">
      <alignment vertical="top"/>
    </xf>
    <xf numFmtId="0" fontId="4" fillId="2" borderId="1" xfId="0" applyFont="1" applyFill="1" applyBorder="1"/>
    <xf numFmtId="0" fontId="3" fillId="0" borderId="0" xfId="0" applyFont="1" applyAlignment="1">
      <alignment vertical="top" wrapText="1"/>
    </xf>
    <xf numFmtId="0" fontId="5" fillId="4" borderId="1" xfId="0" applyFont="1" applyFill="1" applyBorder="1" applyAlignment="1">
      <alignment horizontal="center"/>
    </xf>
    <xf numFmtId="165" fontId="4" fillId="5" borderId="1" xfId="0" applyNumberFormat="1" applyFont="1" applyFill="1" applyBorder="1"/>
    <xf numFmtId="0" fontId="4" fillId="0" borderId="0" xfId="0" applyFont="1"/>
    <xf numFmtId="165" fontId="0" fillId="5" borderId="1" xfId="0" applyNumberFormat="1" applyFill="1" applyBorder="1"/>
    <xf numFmtId="165" fontId="0" fillId="2" borderId="1" xfId="0" applyNumberFormat="1" applyFill="1" applyBorder="1"/>
    <xf numFmtId="165" fontId="4" fillId="2" borderId="1" xfId="0" applyNumberFormat="1" applyFont="1" applyFill="1" applyBorder="1"/>
    <xf numFmtId="1" fontId="4" fillId="5" borderId="1" xfId="0" applyNumberFormat="1" applyFont="1" applyFill="1" applyBorder="1"/>
    <xf numFmtId="0" fontId="7" fillId="0" borderId="0" xfId="0" applyFont="1" applyAlignment="1">
      <alignment vertical="center"/>
    </xf>
    <xf numFmtId="165" fontId="7" fillId="6" borderId="1" xfId="0" applyNumberFormat="1" applyFont="1" applyFill="1" applyBorder="1"/>
    <xf numFmtId="0" fontId="7" fillId="0" borderId="0" xfId="0" applyFont="1"/>
    <xf numFmtId="165" fontId="15" fillId="6" borderId="1" xfId="0" applyNumberFormat="1" applyFont="1" applyFill="1" applyBorder="1"/>
    <xf numFmtId="166" fontId="4" fillId="5" borderId="1" xfId="0" applyNumberFormat="1" applyFont="1" applyFill="1" applyBorder="1" applyAlignment="1">
      <alignment horizontal="center"/>
    </xf>
    <xf numFmtId="10" fontId="0" fillId="5" borderId="1" xfId="0" applyNumberFormat="1" applyFill="1" applyBorder="1" applyAlignment="1">
      <alignment horizontal="center"/>
    </xf>
    <xf numFmtId="10" fontId="4" fillId="5" borderId="1" xfId="0" applyNumberFormat="1" applyFont="1" applyFill="1" applyBorder="1" applyAlignment="1">
      <alignment horizontal="center"/>
    </xf>
    <xf numFmtId="167" fontId="4" fillId="2" borderId="1" xfId="0" applyNumberFormat="1" applyFont="1" applyFill="1" applyBorder="1" applyAlignment="1">
      <alignment horizontal="center"/>
    </xf>
    <xf numFmtId="167" fontId="15" fillId="6" borderId="1" xfId="0" applyNumberFormat="1" applyFont="1" applyFill="1" applyBorder="1" applyAlignment="1">
      <alignment horizontal="center"/>
    </xf>
    <xf numFmtId="0" fontId="16" fillId="0" borderId="0" xfId="0" applyFont="1"/>
    <xf numFmtId="10" fontId="0" fillId="2" borderId="1" xfId="0" applyNumberFormat="1" applyFill="1" applyBorder="1"/>
    <xf numFmtId="167" fontId="15" fillId="6" borderId="1" xfId="0" applyNumberFormat="1" applyFont="1" applyFill="1" applyBorder="1"/>
    <xf numFmtId="167" fontId="4" fillId="2" borderId="1" xfId="0" applyNumberFormat="1" applyFont="1" applyFill="1" applyBorder="1"/>
    <xf numFmtId="168" fontId="4" fillId="2" borderId="1" xfId="0" applyNumberFormat="1" applyFont="1" applyFill="1" applyBorder="1"/>
    <xf numFmtId="1" fontId="4" fillId="2" borderId="1" xfId="0" applyNumberFormat="1" applyFont="1" applyFill="1" applyBorder="1"/>
    <xf numFmtId="9" fontId="4" fillId="2" borderId="1" xfId="0" applyNumberFormat="1" applyFont="1" applyFill="1" applyBorder="1"/>
    <xf numFmtId="0" fontId="7" fillId="0" borderId="0" xfId="0" applyFont="1" applyAlignment="1">
      <alignment vertical="top"/>
    </xf>
    <xf numFmtId="165" fontId="7" fillId="2" borderId="1" xfId="0" applyNumberFormat="1" applyFont="1" applyFill="1" applyBorder="1" applyAlignment="1">
      <alignment vertical="top"/>
    </xf>
    <xf numFmtId="165" fontId="4" fillId="2" borderId="1" xfId="0" applyNumberFormat="1" applyFont="1" applyFill="1" applyBorder="1" applyAlignment="1">
      <alignment vertical="top"/>
    </xf>
    <xf numFmtId="167" fontId="4" fillId="2" borderId="1" xfId="0" applyNumberFormat="1" applyFont="1" applyFill="1" applyBorder="1" applyAlignment="1">
      <alignment vertical="top"/>
    </xf>
    <xf numFmtId="0" fontId="4" fillId="0" borderId="0" xfId="0" applyFont="1" applyAlignment="1">
      <alignment vertical="top" wrapText="1"/>
    </xf>
    <xf numFmtId="165" fontId="7" fillId="6" borderId="1" xfId="0" applyNumberFormat="1" applyFont="1" applyFill="1" applyBorder="1" applyAlignment="1">
      <alignment vertical="top"/>
    </xf>
    <xf numFmtId="0" fontId="7" fillId="0" borderId="0" xfId="0" applyFont="1" applyAlignment="1">
      <alignment vertical="top" wrapText="1"/>
    </xf>
    <xf numFmtId="0" fontId="17" fillId="0" borderId="0" xfId="0" applyFont="1"/>
    <xf numFmtId="0" fontId="5" fillId="3"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0" fillId="5" borderId="1" xfId="0" applyFill="1" applyBorder="1" applyAlignment="1">
      <alignment horizontal="center"/>
    </xf>
    <xf numFmtId="0" fontId="8" fillId="0" borderId="0" xfId="0" applyFont="1" applyAlignment="1">
      <alignment vertical="top" wrapText="1"/>
    </xf>
    <xf numFmtId="3" fontId="0" fillId="5" borderId="1" xfId="0" applyNumberFormat="1" applyFill="1" applyBorder="1"/>
    <xf numFmtId="164" fontId="9" fillId="5" borderId="1" xfId="0" applyNumberFormat="1" applyFont="1" applyFill="1" applyBorder="1"/>
    <xf numFmtId="165" fontId="9" fillId="2" borderId="1" xfId="0" applyNumberFormat="1" applyFont="1" applyFill="1" applyBorder="1"/>
    <xf numFmtId="0" fontId="10" fillId="0" borderId="0" xfId="0" applyFont="1" applyAlignment="1">
      <alignment vertical="top" wrapText="1"/>
    </xf>
    <xf numFmtId="164" fontId="11" fillId="5" borderId="1" xfId="0" applyNumberFormat="1" applyFont="1" applyFill="1" applyBorder="1"/>
    <xf numFmtId="165" fontId="11" fillId="2" borderId="1" xfId="0" applyNumberFormat="1" applyFont="1" applyFill="1" applyBorder="1"/>
    <xf numFmtId="0" fontId="12" fillId="0" borderId="0" xfId="0" applyFont="1" applyAlignment="1">
      <alignment vertical="top" wrapText="1"/>
    </xf>
    <xf numFmtId="0" fontId="13" fillId="0" borderId="0" xfId="0" applyFont="1"/>
    <xf numFmtId="165" fontId="14" fillId="6" borderId="1" xfId="0" applyNumberFormat="1" applyFont="1" applyFill="1" applyBorder="1"/>
    <xf numFmtId="3" fontId="0" fillId="2" borderId="1" xfId="0" applyNumberFormat="1" applyFill="1" applyBorder="1"/>
    <xf numFmtId="164" fontId="4" fillId="2" borderId="1" xfId="0" applyNumberFormat="1" applyFont="1" applyFill="1" applyBorder="1" applyAlignment="1">
      <alignment vertical="top"/>
    </xf>
    <xf numFmtId="9" fontId="4" fillId="2" borderId="1" xfId="0" applyNumberFormat="1" applyFont="1" applyFill="1" applyBorder="1" applyAlignment="1">
      <alignment vertical="top"/>
    </xf>
    <xf numFmtId="168" fontId="4" fillId="2" borderId="1" xfId="0" applyNumberFormat="1" applyFont="1" applyFill="1" applyBorder="1" applyAlignment="1">
      <alignment vertical="top"/>
    </xf>
    <xf numFmtId="3" fontId="0" fillId="0" borderId="0" xfId="0" applyNumberFormat="1"/>
    <xf numFmtId="0" fontId="18" fillId="0" borderId="0" xfId="0" applyFont="1" applyAlignment="1">
      <alignment vertical="top" wrapText="1"/>
    </xf>
    <xf numFmtId="0" fontId="15" fillId="0" borderId="0" xfId="0" applyFont="1"/>
    <xf numFmtId="3" fontId="15" fillId="6" borderId="1" xfId="0" applyNumberFormat="1" applyFont="1" applyFill="1" applyBorder="1"/>
    <xf numFmtId="168" fontId="15" fillId="2" borderId="1" xfId="0" applyNumberFormat="1" applyFont="1" applyFill="1" applyBorder="1"/>
    <xf numFmtId="0" fontId="0" fillId="0" borderId="0" xfId="0" applyAlignment="1">
      <alignment vertical="top" wrapText="1"/>
    </xf>
    <xf numFmtId="0" fontId="20" fillId="0" borderId="0" xfId="0" applyFont="1" applyAlignment="1">
      <alignment vertical="top" wrapText="1"/>
    </xf>
    <xf numFmtId="167" fontId="7" fillId="2" borderId="1" xfId="0" applyNumberFormat="1" applyFont="1" applyFill="1" applyBorder="1" applyAlignment="1">
      <alignment vertical="top"/>
    </xf>
    <xf numFmtId="0" fontId="0" fillId="2" borderId="1" xfId="0" applyFill="1" applyBorder="1"/>
    <xf numFmtId="0" fontId="21" fillId="0" borderId="0" xfId="0" applyFont="1" applyAlignment="1">
      <alignment vertical="top" wrapText="1"/>
    </xf>
    <xf numFmtId="0" fontId="4" fillId="2" borderId="1" xfId="0" applyFont="1" applyFill="1" applyBorder="1" applyAlignment="1">
      <alignment vertical="top"/>
    </xf>
    <xf numFmtId="0" fontId="0" fillId="0" borderId="2" xfId="0" applyBorder="1"/>
    <xf numFmtId="0" fontId="3" fillId="0" borderId="0" xfId="0" applyFont="1" applyAlignment="1">
      <alignment vertical="top" wrapText="1"/>
    </xf>
    <xf numFmtId="0" fontId="0" fillId="0" borderId="0" xfId="0"/>
    <xf numFmtId="0" fontId="4" fillId="2" borderId="1" xfId="0" applyFont="1" applyFill="1" applyBorder="1" applyAlignment="1">
      <alignment vertical="top" wrapText="1"/>
    </xf>
    <xf numFmtId="0" fontId="0" fillId="0" borderId="3" xfId="0" applyBorder="1"/>
    <xf numFmtId="165" fontId="7" fillId="6" borderId="1" xfId="0" applyNumberFormat="1" applyFont="1" applyFill="1" applyBorder="1" applyAlignment="1">
      <alignment vertical="top" wrapText="1"/>
    </xf>
    <xf numFmtId="0" fontId="9" fillId="0" borderId="0" xfId="0" applyFont="1" applyAlignment="1">
      <alignment vertical="top" wrapText="1"/>
    </xf>
    <xf numFmtId="0" fontId="19"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65"/>
  <sheetViews>
    <sheetView workbookViewId="0">
      <pane ySplit="4" topLeftCell="A9" activePane="bottomLeft" state="frozen"/>
      <selection pane="bottomLeft" activeCell="A15" sqref="A15:C15"/>
    </sheetView>
  </sheetViews>
  <sheetFormatPr defaultRowHeight="15" x14ac:dyDescent="0.25"/>
  <cols>
    <col min="1" max="1" width="54" customWidth="1"/>
    <col min="2" max="2" width="50.42578125" customWidth="1"/>
    <col min="3" max="3" width="15" customWidth="1"/>
    <col min="4" max="4" width="40.42578125" customWidth="1"/>
    <col min="5" max="5" width="16.42578125" customWidth="1"/>
    <col min="6" max="6" width="15" customWidth="1"/>
  </cols>
  <sheetData>
    <row r="1" spans="1:6" ht="19.5" x14ac:dyDescent="0.3">
      <c r="A1" s="1" t="s">
        <v>0</v>
      </c>
    </row>
    <row r="2" spans="1:6" x14ac:dyDescent="0.25">
      <c r="A2" s="2" t="s">
        <v>1</v>
      </c>
    </row>
    <row r="3" spans="1:6" x14ac:dyDescent="0.25">
      <c r="A3" s="3" t="s">
        <v>2</v>
      </c>
    </row>
    <row r="5" spans="1:6" x14ac:dyDescent="0.25">
      <c r="A5" s="4" t="s">
        <v>3</v>
      </c>
      <c r="B5" s="5"/>
      <c r="C5" s="5"/>
      <c r="D5" s="5"/>
      <c r="E5" s="5"/>
      <c r="F5" s="5"/>
    </row>
    <row r="6" spans="1:6" x14ac:dyDescent="0.25">
      <c r="A6" s="6" t="s">
        <v>4</v>
      </c>
      <c r="B6" s="71" t="s">
        <v>1</v>
      </c>
      <c r="C6" s="72"/>
      <c r="D6" s="8" t="s">
        <v>5</v>
      </c>
      <c r="F6" s="9">
        <v>1</v>
      </c>
    </row>
    <row r="7" spans="1:6" x14ac:dyDescent="0.25">
      <c r="A7" s="6" t="s">
        <v>6</v>
      </c>
      <c r="B7" s="10">
        <v>948</v>
      </c>
      <c r="D7" s="8" t="s">
        <v>7</v>
      </c>
      <c r="F7" s="11" t="s">
        <v>8</v>
      </c>
    </row>
    <row r="8" spans="1:6" x14ac:dyDescent="0.25">
      <c r="A8" s="6" t="s">
        <v>9</v>
      </c>
      <c r="B8" s="7" t="s">
        <v>10</v>
      </c>
      <c r="D8" s="8" t="s">
        <v>11</v>
      </c>
      <c r="F8" s="9">
        <v>1945</v>
      </c>
    </row>
    <row r="9" spans="1:6" x14ac:dyDescent="0.25">
      <c r="A9" s="6" t="s">
        <v>12</v>
      </c>
      <c r="B9" s="7" t="s">
        <v>13</v>
      </c>
      <c r="D9" s="8" t="s">
        <v>14</v>
      </c>
      <c r="F9" s="11" t="s">
        <v>15</v>
      </c>
    </row>
    <row r="10" spans="1:6" ht="41.1" customHeight="1" x14ac:dyDescent="0.25">
      <c r="A10" s="73" t="s">
        <v>16</v>
      </c>
      <c r="B10" s="74"/>
      <c r="C10" s="74"/>
      <c r="D10" s="74"/>
      <c r="E10" s="74"/>
      <c r="F10" s="74"/>
    </row>
    <row r="12" spans="1:6" x14ac:dyDescent="0.25">
      <c r="A12" s="4" t="s">
        <v>17</v>
      </c>
      <c r="B12" s="5"/>
      <c r="C12" s="5"/>
      <c r="D12" s="4" t="s">
        <v>18</v>
      </c>
      <c r="E12" s="13" t="s">
        <v>19</v>
      </c>
      <c r="F12" s="13" t="s">
        <v>20</v>
      </c>
    </row>
    <row r="13" spans="1:6" x14ac:dyDescent="0.25">
      <c r="A13" s="8" t="s">
        <v>21</v>
      </c>
      <c r="C13" s="14">
        <v>225000</v>
      </c>
      <c r="D13" s="15" t="s">
        <v>22</v>
      </c>
      <c r="E13" s="16">
        <v>900</v>
      </c>
      <c r="F13" s="17">
        <f>E13/12</f>
        <v>75</v>
      </c>
    </row>
    <row r="14" spans="1:6" x14ac:dyDescent="0.25">
      <c r="A14" s="8" t="s">
        <v>23</v>
      </c>
      <c r="C14" s="14">
        <v>70000</v>
      </c>
      <c r="D14" s="15" t="s">
        <v>24</v>
      </c>
      <c r="F14" s="16">
        <v>0</v>
      </c>
    </row>
    <row r="15" spans="1:6" x14ac:dyDescent="0.25">
      <c r="A15" s="8" t="s">
        <v>25</v>
      </c>
      <c r="C15" s="18">
        <f>RehabTotal</f>
        <v>87192</v>
      </c>
      <c r="D15" s="15" t="s">
        <v>26</v>
      </c>
      <c r="E15" s="16">
        <v>2400</v>
      </c>
      <c r="F15" s="17">
        <f>E15/12</f>
        <v>200</v>
      </c>
    </row>
    <row r="16" spans="1:6" x14ac:dyDescent="0.25">
      <c r="A16" s="8" t="s">
        <v>27</v>
      </c>
      <c r="C16" s="14">
        <v>92000</v>
      </c>
      <c r="D16" s="15" t="s">
        <v>28</v>
      </c>
      <c r="F16" s="16">
        <v>0</v>
      </c>
    </row>
    <row r="17" spans="1:6" x14ac:dyDescent="0.25">
      <c r="A17" s="8" t="s">
        <v>29</v>
      </c>
      <c r="C17" s="14">
        <v>215000</v>
      </c>
      <c r="D17" s="15" t="s">
        <v>30</v>
      </c>
      <c r="F17" s="16">
        <v>40</v>
      </c>
    </row>
    <row r="18" spans="1:6" x14ac:dyDescent="0.25">
      <c r="A18" s="8" t="s">
        <v>31</v>
      </c>
      <c r="C18" s="14">
        <v>235000</v>
      </c>
      <c r="D18" s="15" t="s">
        <v>32</v>
      </c>
      <c r="F18" s="16">
        <v>90</v>
      </c>
    </row>
    <row r="19" spans="1:6" x14ac:dyDescent="0.25">
      <c r="A19" s="8" t="s">
        <v>33</v>
      </c>
      <c r="C19" s="19">
        <v>9</v>
      </c>
      <c r="D19" s="15" t="s">
        <v>34</v>
      </c>
      <c r="F19" s="16">
        <v>120</v>
      </c>
    </row>
    <row r="20" spans="1:6" x14ac:dyDescent="0.25">
      <c r="D20" s="15" t="s">
        <v>35</v>
      </c>
      <c r="F20" s="16">
        <v>0</v>
      </c>
    </row>
    <row r="21" spans="1:6" x14ac:dyDescent="0.25">
      <c r="A21" s="20" t="s">
        <v>36</v>
      </c>
      <c r="C21" s="21">
        <f>Purchase+RehabTotal</f>
        <v>179192</v>
      </c>
      <c r="D21" s="22" t="s">
        <v>37</v>
      </c>
      <c r="F21" s="23">
        <f>SUM(F13:F20)</f>
        <v>525</v>
      </c>
    </row>
    <row r="22" spans="1:6" x14ac:dyDescent="0.25">
      <c r="D22" s="22" t="s">
        <v>38</v>
      </c>
      <c r="F22" s="23">
        <f>HoldMonthly*HoldMonths</f>
        <v>4725</v>
      </c>
    </row>
    <row r="24" spans="1:6" x14ac:dyDescent="0.25">
      <c r="A24" s="4" t="s">
        <v>39</v>
      </c>
      <c r="B24" s="13" t="s">
        <v>40</v>
      </c>
      <c r="C24" s="13" t="s">
        <v>41</v>
      </c>
      <c r="D24" s="4" t="s">
        <v>42</v>
      </c>
      <c r="E24" s="13" t="s">
        <v>43</v>
      </c>
      <c r="F24" s="13" t="s">
        <v>41</v>
      </c>
    </row>
    <row r="25" spans="1:6" x14ac:dyDescent="0.25">
      <c r="A25" s="8" t="s">
        <v>44</v>
      </c>
      <c r="C25" s="14">
        <v>180800</v>
      </c>
      <c r="D25" s="15" t="s">
        <v>45</v>
      </c>
      <c r="F25" s="16">
        <v>900</v>
      </c>
    </row>
    <row r="26" spans="1:6" x14ac:dyDescent="0.25">
      <c r="A26" s="8" t="s">
        <v>46</v>
      </c>
      <c r="B26" s="24">
        <v>0</v>
      </c>
      <c r="C26" s="18">
        <f>Loan*Points/100</f>
        <v>0</v>
      </c>
      <c r="D26" s="15" t="s">
        <v>47</v>
      </c>
      <c r="E26" s="25">
        <v>7.7000000000000002E-3</v>
      </c>
      <c r="F26" s="17">
        <f>Purchase*TitlePct</f>
        <v>708.4</v>
      </c>
    </row>
    <row r="27" spans="1:6" x14ac:dyDescent="0.25">
      <c r="A27" s="8" t="s">
        <v>48</v>
      </c>
      <c r="B27" s="26">
        <v>0.12</v>
      </c>
      <c r="C27" s="18">
        <f>Loan*Rate*HoldMonths/12</f>
        <v>16272</v>
      </c>
      <c r="D27" s="15" t="s">
        <v>49</v>
      </c>
      <c r="F27" s="16">
        <v>0</v>
      </c>
    </row>
    <row r="28" spans="1:6" x14ac:dyDescent="0.25">
      <c r="A28" s="8" t="s">
        <v>50</v>
      </c>
      <c r="B28" s="27">
        <f>Rate*MinIntMonths/12</f>
        <v>0.03</v>
      </c>
      <c r="C28" s="18">
        <f>Loan*Rate*MinIntMonths/12</f>
        <v>5424</v>
      </c>
      <c r="D28" s="15" t="s">
        <v>51</v>
      </c>
      <c r="F28" s="16">
        <v>0</v>
      </c>
    </row>
    <row r="29" spans="1:6" x14ac:dyDescent="0.25">
      <c r="A29" s="8" t="s">
        <v>52</v>
      </c>
      <c r="C29" s="19">
        <v>3</v>
      </c>
      <c r="D29" s="22" t="s">
        <v>53</v>
      </c>
      <c r="F29" s="23">
        <f>SUM(F25:F28)</f>
        <v>1608.4</v>
      </c>
    </row>
    <row r="30" spans="1:6" x14ac:dyDescent="0.25">
      <c r="A30" s="20" t="s">
        <v>54</v>
      </c>
      <c r="C30" s="21">
        <f>PointsAmt+Interest</f>
        <v>16272</v>
      </c>
    </row>
    <row r="31" spans="1:6" x14ac:dyDescent="0.25">
      <c r="D31" s="4" t="s">
        <v>55</v>
      </c>
      <c r="E31" s="13" t="s">
        <v>56</v>
      </c>
      <c r="F31" s="13" t="s">
        <v>41</v>
      </c>
    </row>
    <row r="32" spans="1:6" x14ac:dyDescent="0.25">
      <c r="D32" s="15" t="s">
        <v>45</v>
      </c>
      <c r="F32" s="16">
        <v>900</v>
      </c>
    </row>
    <row r="33" spans="1:6" x14ac:dyDescent="0.25">
      <c r="D33" s="15" t="s">
        <v>57</v>
      </c>
      <c r="F33" s="16">
        <v>400</v>
      </c>
    </row>
    <row r="34" spans="1:6" x14ac:dyDescent="0.25">
      <c r="D34" s="15" t="s">
        <v>58</v>
      </c>
      <c r="E34" s="25">
        <v>0.05</v>
      </c>
      <c r="F34" s="17">
        <f>ARV*E34</f>
        <v>11250</v>
      </c>
    </row>
    <row r="35" spans="1:6" x14ac:dyDescent="0.25">
      <c r="D35" s="15" t="s">
        <v>59</v>
      </c>
      <c r="E35" s="25">
        <v>3.7000000000000002E-3</v>
      </c>
      <c r="F35" s="17">
        <f>ARV*E35</f>
        <v>832.5</v>
      </c>
    </row>
    <row r="36" spans="1:6" x14ac:dyDescent="0.25">
      <c r="D36" s="15" t="s">
        <v>60</v>
      </c>
      <c r="F36" s="16">
        <v>0</v>
      </c>
    </row>
    <row r="37" spans="1:6" x14ac:dyDescent="0.25">
      <c r="D37" s="15" t="s">
        <v>61</v>
      </c>
      <c r="F37" s="16">
        <v>0</v>
      </c>
    </row>
    <row r="38" spans="1:6" x14ac:dyDescent="0.25">
      <c r="D38" s="15" t="s">
        <v>62</v>
      </c>
      <c r="F38" s="16">
        <v>0</v>
      </c>
    </row>
    <row r="39" spans="1:6" x14ac:dyDescent="0.25">
      <c r="D39" s="15" t="s">
        <v>63</v>
      </c>
      <c r="F39" s="16">
        <v>0</v>
      </c>
    </row>
    <row r="40" spans="1:6" x14ac:dyDescent="0.25">
      <c r="D40" s="22" t="s">
        <v>64</v>
      </c>
      <c r="E40" s="28">
        <f>IFERROR(SellCosts/ARV,0)</f>
        <v>5.9477777777777775E-2</v>
      </c>
      <c r="F40" s="23">
        <f>SUM(F32:F39)</f>
        <v>13382.5</v>
      </c>
    </row>
    <row r="41" spans="1:6" x14ac:dyDescent="0.25">
      <c r="D41" s="29" t="s">
        <v>65</v>
      </c>
      <c r="E41" s="30">
        <f>E34+E35</f>
        <v>5.3700000000000005E-2</v>
      </c>
      <c r="F41" s="17">
        <f>F32+F33+F36+F37+F38+F39</f>
        <v>1300</v>
      </c>
    </row>
    <row r="43" spans="1:6" x14ac:dyDescent="0.25">
      <c r="A43" s="4" t="s">
        <v>66</v>
      </c>
      <c r="B43" s="5"/>
      <c r="C43" s="5"/>
      <c r="D43" s="5"/>
      <c r="E43" s="5"/>
      <c r="F43" s="5"/>
    </row>
    <row r="44" spans="1:6" x14ac:dyDescent="0.25">
      <c r="A44" s="20" t="s">
        <v>67</v>
      </c>
      <c r="C44" s="21">
        <f>ARV-SellCosts-Purchase-RehabTotal-BuyCosts-HoldTotal-FinCosts</f>
        <v>9820.0999999999985</v>
      </c>
      <c r="D44" s="22" t="s">
        <v>68</v>
      </c>
      <c r="F44" s="31">
        <f>IFERROR(NetProfit/TotalCost,0)</f>
        <v>4.866316414383931E-2</v>
      </c>
    </row>
    <row r="46" spans="1:6" x14ac:dyDescent="0.25">
      <c r="A46" s="4" t="s">
        <v>69</v>
      </c>
      <c r="B46" s="5"/>
      <c r="C46" s="5"/>
      <c r="D46" s="4" t="s">
        <v>70</v>
      </c>
      <c r="E46" s="5"/>
      <c r="F46" s="5"/>
    </row>
    <row r="47" spans="1:6" x14ac:dyDescent="0.25">
      <c r="A47" s="8" t="s">
        <v>21</v>
      </c>
      <c r="C47" s="18">
        <f>ARV</f>
        <v>225000</v>
      </c>
      <c r="D47" s="8" t="s">
        <v>71</v>
      </c>
      <c r="F47" s="18">
        <f>Loan</f>
        <v>180800</v>
      </c>
    </row>
    <row r="48" spans="1:6" x14ac:dyDescent="0.25">
      <c r="A48" s="8" t="s">
        <v>27</v>
      </c>
      <c r="C48" s="18">
        <f>Purchase</f>
        <v>92000</v>
      </c>
      <c r="D48" s="8" t="s">
        <v>72</v>
      </c>
      <c r="F48" s="18">
        <f>Loan+Interest+PointsAmt</f>
        <v>197072</v>
      </c>
    </row>
    <row r="49" spans="1:6" x14ac:dyDescent="0.25">
      <c r="A49" s="8" t="s">
        <v>25</v>
      </c>
      <c r="C49" s="18">
        <f>RehabTotal</f>
        <v>87192</v>
      </c>
      <c r="D49" s="8" t="s">
        <v>73</v>
      </c>
      <c r="F49" s="32">
        <f>IFERROR(Loan/ARV,0)</f>
        <v>0.80355555555555558</v>
      </c>
    </row>
    <row r="50" spans="1:6" x14ac:dyDescent="0.25">
      <c r="A50" s="8" t="s">
        <v>74</v>
      </c>
      <c r="C50" s="18">
        <f>FinCosts</f>
        <v>16272</v>
      </c>
      <c r="D50" s="8" t="s">
        <v>75</v>
      </c>
      <c r="F50" s="18">
        <f>ARV-Loan</f>
        <v>44200</v>
      </c>
    </row>
    <row r="51" spans="1:6" x14ac:dyDescent="0.25">
      <c r="A51" s="8" t="s">
        <v>76</v>
      </c>
      <c r="C51" s="18">
        <f>HoldTotal</f>
        <v>4725</v>
      </c>
      <c r="D51" s="8" t="s">
        <v>77</v>
      </c>
      <c r="F51" s="33">
        <f>IFERROR(AsIs/DayOne,0)</f>
        <v>0.74779933339030857</v>
      </c>
    </row>
    <row r="52" spans="1:6" x14ac:dyDescent="0.25">
      <c r="A52" s="8" t="s">
        <v>78</v>
      </c>
      <c r="C52" s="18">
        <f>BuyCosts</f>
        <v>1608.4</v>
      </c>
      <c r="D52" s="8" t="s">
        <v>79</v>
      </c>
      <c r="F52" s="33">
        <f>IFERROR(NetPoint/Payoff,0)</f>
        <v>1.073808049849801</v>
      </c>
    </row>
    <row r="53" spans="1:6" x14ac:dyDescent="0.25">
      <c r="A53" s="8" t="s">
        <v>80</v>
      </c>
      <c r="C53" s="18">
        <f>SellCosts</f>
        <v>13382.5</v>
      </c>
      <c r="D53" s="8" t="s">
        <v>81</v>
      </c>
      <c r="F53" s="33">
        <f>IFERROR(NetLo/Payoff,0)</f>
        <v>1.0257900665746529</v>
      </c>
    </row>
    <row r="54" spans="1:6" x14ac:dyDescent="0.25">
      <c r="A54" s="20" t="s">
        <v>82</v>
      </c>
      <c r="C54" s="21">
        <f>Purchase+RehabTotal+BuyCosts+HoldTotal+FinCosts</f>
        <v>201797.4</v>
      </c>
      <c r="D54" s="8" t="s">
        <v>83</v>
      </c>
      <c r="F54" s="18">
        <f>Interest+PointsAmt</f>
        <v>16272</v>
      </c>
    </row>
    <row r="55" spans="1:6" x14ac:dyDescent="0.25">
      <c r="A55" s="8" t="s">
        <v>84</v>
      </c>
      <c r="C55" s="18">
        <f>MAX(Purchase+RehabTotal+BuyCosts+HoldTotal-Loan,0)</f>
        <v>4725.3999999999942</v>
      </c>
      <c r="D55" s="8" t="s">
        <v>85</v>
      </c>
      <c r="F55" s="32">
        <f>Rate+(Points/100)*(12/HoldMonths)</f>
        <v>0.12</v>
      </c>
    </row>
    <row r="57" spans="1:6" x14ac:dyDescent="0.25">
      <c r="A57" s="4" t="s">
        <v>86</v>
      </c>
      <c r="B57" s="5"/>
      <c r="C57" s="5"/>
      <c r="D57" s="5"/>
      <c r="E57" s="5"/>
      <c r="F57" s="5"/>
    </row>
    <row r="58" spans="1:6" x14ac:dyDescent="0.25">
      <c r="A58" s="8" t="s">
        <v>87</v>
      </c>
      <c r="C58" s="18">
        <f>Loan-RehabTotal</f>
        <v>93608</v>
      </c>
      <c r="D58" s="8" t="s">
        <v>88</v>
      </c>
      <c r="F58" s="18">
        <f>MAX(Loan-DayOne,0)</f>
        <v>87192</v>
      </c>
    </row>
    <row r="59" spans="1:6" x14ac:dyDescent="0.25">
      <c r="A59" s="8" t="s">
        <v>89</v>
      </c>
      <c r="C59" s="34">
        <v>4</v>
      </c>
      <c r="D59" s="8" t="s">
        <v>90</v>
      </c>
      <c r="F59" s="18">
        <f>IF(Draws&gt;0,RehabTranche/Draws,0)</f>
        <v>21798</v>
      </c>
    </row>
    <row r="60" spans="1:6" x14ac:dyDescent="0.25">
      <c r="A60" s="8" t="s">
        <v>91</v>
      </c>
      <c r="C60" s="18">
        <f>ARV-SellCosts</f>
        <v>211617.5</v>
      </c>
      <c r="D60" s="8" t="s">
        <v>92</v>
      </c>
      <c r="F60" s="18">
        <f>ARVLo-(SellFixed+ARVLo*SellVarPct)</f>
        <v>202154.5</v>
      </c>
    </row>
    <row r="61" spans="1:6" x14ac:dyDescent="0.25">
      <c r="A61" s="8" t="s">
        <v>93</v>
      </c>
      <c r="C61" s="18">
        <f>ARVHi-(SellFixed+ARVHi*SellVarPct)</f>
        <v>221080.5</v>
      </c>
      <c r="D61" s="8" t="s">
        <v>94</v>
      </c>
      <c r="F61" s="35">
        <f>IFERROR(Equity/ARV,0)</f>
        <v>0.19644444444444445</v>
      </c>
    </row>
    <row r="62" spans="1:6" x14ac:dyDescent="0.25">
      <c r="A62" s="8" t="s">
        <v>79</v>
      </c>
      <c r="C62" s="33">
        <f>IFERROR(NetPoint/Payoff,0)</f>
        <v>1.073808049849801</v>
      </c>
      <c r="D62" s="8" t="s">
        <v>81</v>
      </c>
      <c r="F62" s="33">
        <f>IFERROR(NetLo/Payoff,0)</f>
        <v>1.0257900665746529</v>
      </c>
    </row>
    <row r="63" spans="1:6" x14ac:dyDescent="0.25">
      <c r="A63" s="8" t="s">
        <v>77</v>
      </c>
      <c r="C63" s="33">
        <f>IFERROR(AsIs/DayOne,0)</f>
        <v>0.74779933339030857</v>
      </c>
      <c r="D63" s="8" t="s">
        <v>95</v>
      </c>
      <c r="F63" s="18">
        <f>NetLo-Payoff-BorrowerCash</f>
        <v>357.10000000000582</v>
      </c>
    </row>
    <row r="64" spans="1:6" x14ac:dyDescent="0.25">
      <c r="A64" s="8" t="s">
        <v>96</v>
      </c>
      <c r="C64" s="18">
        <f>NetHi-Payoff-BorrowerCash</f>
        <v>19283.100000000006</v>
      </c>
      <c r="D64" s="8" t="s">
        <v>97</v>
      </c>
      <c r="F64" s="18">
        <f>ARV*0.75</f>
        <v>168750</v>
      </c>
    </row>
    <row r="65" spans="1:3" x14ac:dyDescent="0.25">
      <c r="A65" s="8" t="s">
        <v>98</v>
      </c>
      <c r="C65" s="18">
        <f>MAX(Loan-TargetLoan,0)</f>
        <v>12050</v>
      </c>
    </row>
  </sheetData>
  <mergeCells count="2">
    <mergeCell ref="B6:C6"/>
    <mergeCell ref="A10:F10"/>
  </mergeCells>
  <printOptions horizontalCentered="1"/>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39"/>
  <sheetViews>
    <sheetView workbookViewId="0">
      <selection activeCell="K10" sqref="K10"/>
    </sheetView>
  </sheetViews>
  <sheetFormatPr defaultRowHeight="15" x14ac:dyDescent="0.25"/>
  <cols>
    <col min="1" max="1" width="54" customWidth="1"/>
    <col min="2" max="2" width="50.42578125" customWidth="1"/>
    <col min="3" max="3" width="54" customWidth="1"/>
    <col min="4" max="4" width="20" customWidth="1"/>
  </cols>
  <sheetData>
    <row r="1" spans="1:4" ht="19.5" x14ac:dyDescent="0.3">
      <c r="A1" s="1" t="s">
        <v>99</v>
      </c>
    </row>
    <row r="2" spans="1:4" x14ac:dyDescent="0.25">
      <c r="A2" s="2" t="s">
        <v>100</v>
      </c>
    </row>
    <row r="5" spans="1:4" x14ac:dyDescent="0.25">
      <c r="A5" s="4" t="s">
        <v>101</v>
      </c>
      <c r="B5" s="5"/>
      <c r="C5" s="5"/>
      <c r="D5" s="5"/>
    </row>
    <row r="6" spans="1:4" x14ac:dyDescent="0.25">
      <c r="A6" s="36" t="s">
        <v>102</v>
      </c>
      <c r="B6" s="37">
        <f>Loan</f>
        <v>180800</v>
      </c>
      <c r="C6" s="12" t="s">
        <v>103</v>
      </c>
    </row>
    <row r="7" spans="1:4" x14ac:dyDescent="0.25">
      <c r="A7" s="6" t="s">
        <v>104</v>
      </c>
      <c r="B7" s="38">
        <f>DayOne</f>
        <v>93608</v>
      </c>
      <c r="C7" s="12" t="s">
        <v>105</v>
      </c>
    </row>
    <row r="8" spans="1:4" x14ac:dyDescent="0.25">
      <c r="A8" s="6" t="s">
        <v>106</v>
      </c>
      <c r="B8" s="38">
        <f>RehabTranche</f>
        <v>87192</v>
      </c>
      <c r="C8" s="12" t="s">
        <v>107</v>
      </c>
    </row>
    <row r="9" spans="1:4" x14ac:dyDescent="0.25">
      <c r="A9" s="6" t="s">
        <v>108</v>
      </c>
      <c r="B9" s="39">
        <f>Rate</f>
        <v>0.12</v>
      </c>
      <c r="C9" s="12" t="s">
        <v>109</v>
      </c>
    </row>
    <row r="10" spans="1:4" ht="28.35" customHeight="1" x14ac:dyDescent="0.25">
      <c r="A10" s="6" t="s">
        <v>110</v>
      </c>
      <c r="B10" s="7" t="str">
        <f>HoldMonths&amp;" months"</f>
        <v>9 months</v>
      </c>
      <c r="C10" s="12" t="s">
        <v>111</v>
      </c>
    </row>
    <row r="11" spans="1:4" x14ac:dyDescent="0.25">
      <c r="A11" s="6" t="s">
        <v>112</v>
      </c>
      <c r="B11" s="38">
        <f>Interest</f>
        <v>16272</v>
      </c>
      <c r="C11" s="12" t="s">
        <v>113</v>
      </c>
    </row>
    <row r="12" spans="1:4" x14ac:dyDescent="0.25">
      <c r="A12" s="6" t="s">
        <v>114</v>
      </c>
      <c r="B12" s="7" t="str">
        <f>MinIntMonths&amp;" months ("&amp;TEXT(MinIntPct,"0.0%")&amp;" of the loan, "&amp;TEXT(MinIntAmt,"$#,##0")&amp;")"</f>
        <v>3 months (3.0% of the loan, $5,424)</v>
      </c>
      <c r="C12" s="12" t="s">
        <v>115</v>
      </c>
    </row>
    <row r="14" spans="1:4" x14ac:dyDescent="0.25">
      <c r="A14" s="4" t="s">
        <v>116</v>
      </c>
      <c r="B14" s="5"/>
      <c r="C14" s="5"/>
      <c r="D14" s="5"/>
    </row>
    <row r="15" spans="1:4" ht="27.95" customHeight="1" x14ac:dyDescent="0.25">
      <c r="A15" s="40" t="s">
        <v>117</v>
      </c>
      <c r="B15" s="75" t="s">
        <v>118</v>
      </c>
      <c r="C15" s="76"/>
      <c r="D15" s="72"/>
    </row>
    <row r="16" spans="1:4" ht="27.95" customHeight="1" x14ac:dyDescent="0.25">
      <c r="A16" s="40" t="s">
        <v>119</v>
      </c>
      <c r="B16" s="75" t="s">
        <v>120</v>
      </c>
      <c r="C16" s="76"/>
      <c r="D16" s="72"/>
    </row>
    <row r="17" spans="1:4" ht="27.95" customHeight="1" x14ac:dyDescent="0.25">
      <c r="A17" s="40" t="s">
        <v>121</v>
      </c>
      <c r="B17" s="75" t="s">
        <v>122</v>
      </c>
      <c r="C17" s="76"/>
      <c r="D17" s="72"/>
    </row>
    <row r="18" spans="1:4" ht="27.95" customHeight="1" x14ac:dyDescent="0.25">
      <c r="A18" s="40" t="s">
        <v>123</v>
      </c>
      <c r="B18" s="75" t="s">
        <v>124</v>
      </c>
      <c r="C18" s="76"/>
      <c r="D18" s="72"/>
    </row>
    <row r="19" spans="1:4" ht="27.95" customHeight="1" x14ac:dyDescent="0.25">
      <c r="A19" s="40" t="s">
        <v>125</v>
      </c>
      <c r="B19" s="75" t="s">
        <v>126</v>
      </c>
      <c r="C19" s="76"/>
      <c r="D19" s="72"/>
    </row>
    <row r="20" spans="1:4" ht="28.35" customHeight="1" x14ac:dyDescent="0.25">
      <c r="A20" s="40" t="s">
        <v>127</v>
      </c>
      <c r="B20" s="75" t="s">
        <v>128</v>
      </c>
      <c r="C20" s="76"/>
      <c r="D20" s="72"/>
    </row>
    <row r="21" spans="1:4" ht="27.95" customHeight="1" x14ac:dyDescent="0.25">
      <c r="A21" s="40" t="s">
        <v>129</v>
      </c>
      <c r="B21" s="75" t="s">
        <v>130</v>
      </c>
      <c r="C21" s="76"/>
      <c r="D21" s="72"/>
    </row>
    <row r="23" spans="1:4" x14ac:dyDescent="0.25">
      <c r="A23" s="4" t="s">
        <v>131</v>
      </c>
      <c r="B23" s="5"/>
      <c r="C23" s="5"/>
      <c r="D23" s="5"/>
    </row>
    <row r="24" spans="1:4" x14ac:dyDescent="0.25">
      <c r="A24" s="6" t="s">
        <v>132</v>
      </c>
      <c r="B24" s="38">
        <f>ARV</f>
        <v>225000</v>
      </c>
    </row>
    <row r="25" spans="1:4" x14ac:dyDescent="0.25">
      <c r="A25" s="6" t="s">
        <v>133</v>
      </c>
      <c r="B25" s="38">
        <f>-SellCosts</f>
        <v>-13382.5</v>
      </c>
    </row>
    <row r="26" spans="1:4" x14ac:dyDescent="0.25">
      <c r="A26" s="6" t="s">
        <v>134</v>
      </c>
      <c r="B26" s="38">
        <f>NetPoint</f>
        <v>211617.5</v>
      </c>
    </row>
    <row r="27" spans="1:4" x14ac:dyDescent="0.25">
      <c r="A27" s="6" t="s">
        <v>135</v>
      </c>
      <c r="B27" s="38">
        <f>-Loan</f>
        <v>-180800</v>
      </c>
    </row>
    <row r="28" spans="1:4" x14ac:dyDescent="0.25">
      <c r="A28" s="6" t="s">
        <v>136</v>
      </c>
      <c r="B28" s="38">
        <f>-(Interest+PointsAmt)</f>
        <v>-16272</v>
      </c>
    </row>
    <row r="29" spans="1:4" x14ac:dyDescent="0.25">
      <c r="A29" s="36" t="s">
        <v>137</v>
      </c>
      <c r="B29" s="41">
        <f>Payoff</f>
        <v>197072</v>
      </c>
    </row>
    <row r="30" spans="1:4" x14ac:dyDescent="0.25">
      <c r="A30" s="6" t="s">
        <v>138</v>
      </c>
      <c r="B30" s="38">
        <f>NetPoint-Payoff</f>
        <v>14545.5</v>
      </c>
    </row>
    <row r="31" spans="1:4" ht="28.35" customHeight="1" x14ac:dyDescent="0.25">
      <c r="A31" s="73" t="str">
        <f>"Our profit swings from "&amp;TEXT(ProfitLo,"$#,##0")&amp;" at the bottom of the band to "&amp;TEXT(ProfitHi,"$#,##0")&amp;" at the top. Your "&amp;TEXT(Payoff,"$#,##0")&amp;" does not move with it. You get paid the same in every case, and you get paid before we see a dollar."</f>
        <v>Our profit swings from $357 at the bottom of the band to $19,283 at the top. Your $197,072 does not move with it. You get paid the same in every case, and you get paid before we see a dollar.</v>
      </c>
      <c r="B31" s="74"/>
      <c r="C31" s="74"/>
      <c r="D31" s="74"/>
    </row>
    <row r="33" spans="1:4" x14ac:dyDescent="0.25">
      <c r="A33" s="4" t="s">
        <v>139</v>
      </c>
      <c r="B33" s="5"/>
      <c r="C33" s="5"/>
      <c r="D33" s="5"/>
    </row>
    <row r="34" spans="1:4" x14ac:dyDescent="0.25">
      <c r="A34" s="6" t="s">
        <v>140</v>
      </c>
      <c r="B34" s="38">
        <f>Interest</f>
        <v>16272</v>
      </c>
    </row>
    <row r="35" spans="1:4" x14ac:dyDescent="0.25">
      <c r="A35" s="6" t="s">
        <v>141</v>
      </c>
      <c r="B35" s="38">
        <f>PointsAmt</f>
        <v>0</v>
      </c>
    </row>
    <row r="36" spans="1:4" x14ac:dyDescent="0.25">
      <c r="A36" s="36" t="s">
        <v>142</v>
      </c>
      <c r="B36" s="41">
        <f>LenderIncome</f>
        <v>16272</v>
      </c>
    </row>
    <row r="37" spans="1:4" x14ac:dyDescent="0.25">
      <c r="A37" s="6" t="s">
        <v>143</v>
      </c>
      <c r="B37" s="39">
        <f>AnnYield</f>
        <v>0.12</v>
      </c>
    </row>
    <row r="38" spans="1:4" x14ac:dyDescent="0.25">
      <c r="A38" s="6" t="s">
        <v>144</v>
      </c>
      <c r="B38" s="38">
        <f>Loan*0.04*HoldMonths/12</f>
        <v>5424</v>
      </c>
      <c r="C38" s="12" t="s">
        <v>145</v>
      </c>
    </row>
    <row r="39" spans="1:4" ht="28.35" customHeight="1" x14ac:dyDescent="0.25">
      <c r="A39" s="73" t="str">
        <f>"Over the same "&amp;TEXT(HoldMonths,"0")&amp;" months this loan pays you "&amp;TEXT(LenderIncome,"$#,##0")&amp;" against "&amp;TEXT(Loan*0.04*HoldMonths/12,"$#,##0")&amp;" in a CD, and unlike the CD it is secured by a recorded first lien with "&amp;TEXT(Equity,"$#,##0")&amp;" of equity behind you and a personal guarantee from every member of the company."</f>
        <v>Over the same 9 months this loan pays you $16,272 against $5,424 in a CD, and unlike the CD it is secured by a recorded first lien with $44,200 of equity behind you and a personal guarantee from every member of the company.</v>
      </c>
      <c r="B39" s="74"/>
      <c r="C39" s="74"/>
      <c r="D39" s="74"/>
    </row>
  </sheetData>
  <mergeCells count="9">
    <mergeCell ref="B15:D15"/>
    <mergeCell ref="B16:D16"/>
    <mergeCell ref="B20:D20"/>
    <mergeCell ref="B19:D19"/>
    <mergeCell ref="A31:D31"/>
    <mergeCell ref="A39:D39"/>
    <mergeCell ref="B17:D17"/>
    <mergeCell ref="B18:D18"/>
    <mergeCell ref="B21:D21"/>
  </mergeCells>
  <printOptions horizontalCentered="1"/>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47"/>
  <sheetViews>
    <sheetView workbookViewId="0"/>
  </sheetViews>
  <sheetFormatPr defaultRowHeight="15" x14ac:dyDescent="0.25"/>
  <cols>
    <col min="1" max="2" width="54" customWidth="1"/>
    <col min="3" max="3" width="34" customWidth="1"/>
  </cols>
  <sheetData>
    <row r="1" spans="1:3" ht="19.5" x14ac:dyDescent="0.3">
      <c r="A1" s="1" t="s">
        <v>146</v>
      </c>
    </row>
    <row r="2" spans="1:3" x14ac:dyDescent="0.25">
      <c r="A2" s="2" t="s">
        <v>147</v>
      </c>
    </row>
    <row r="5" spans="1:3" x14ac:dyDescent="0.25">
      <c r="A5" s="4" t="s">
        <v>148</v>
      </c>
      <c r="B5" s="5"/>
      <c r="C5" s="5"/>
    </row>
    <row r="6" spans="1:3" x14ac:dyDescent="0.25">
      <c r="A6" s="40" t="s">
        <v>149</v>
      </c>
      <c r="B6" s="75" t="s">
        <v>15</v>
      </c>
      <c r="C6" s="72"/>
    </row>
    <row r="7" spans="1:3" x14ac:dyDescent="0.25">
      <c r="A7" s="40" t="s">
        <v>150</v>
      </c>
      <c r="B7" s="75" t="s">
        <v>151</v>
      </c>
      <c r="C7" s="72"/>
    </row>
    <row r="8" spans="1:3" x14ac:dyDescent="0.25">
      <c r="A8" s="40" t="s">
        <v>152</v>
      </c>
      <c r="B8" s="75" t="s">
        <v>153</v>
      </c>
      <c r="C8" s="72"/>
    </row>
    <row r="9" spans="1:3" x14ac:dyDescent="0.25">
      <c r="A9" s="40" t="s">
        <v>154</v>
      </c>
      <c r="B9" s="75" t="s">
        <v>155</v>
      </c>
      <c r="C9" s="72"/>
    </row>
    <row r="10" spans="1:3" x14ac:dyDescent="0.25">
      <c r="A10" s="40" t="s">
        <v>3</v>
      </c>
      <c r="B10" s="75" t="s">
        <v>156</v>
      </c>
      <c r="C10" s="72"/>
    </row>
    <row r="12" spans="1:3" x14ac:dyDescent="0.25">
      <c r="A12" s="4" t="s">
        <v>157</v>
      </c>
      <c r="B12" s="5"/>
      <c r="C12" s="5"/>
    </row>
    <row r="13" spans="1:3" ht="30" customHeight="1" x14ac:dyDescent="0.25">
      <c r="A13" s="42" t="s">
        <v>102</v>
      </c>
      <c r="B13" s="77">
        <f>Loan</f>
        <v>180800</v>
      </c>
      <c r="C13" s="72"/>
    </row>
    <row r="14" spans="1:3" ht="30" customHeight="1" x14ac:dyDescent="0.25">
      <c r="A14" s="40" t="s">
        <v>158</v>
      </c>
      <c r="B14" s="75" t="s">
        <v>159</v>
      </c>
      <c r="C14" s="72"/>
    </row>
    <row r="15" spans="1:3" ht="30" customHeight="1" x14ac:dyDescent="0.25">
      <c r="A15" s="40" t="s">
        <v>108</v>
      </c>
      <c r="B15" s="75" t="str">
        <f>TEXT(Rate,"0.0%")&amp;" per annum, simple interest on the outstanding balance"</f>
        <v>12.0% per annum, simple interest on the outstanding balance</v>
      </c>
      <c r="C15" s="72"/>
    </row>
    <row r="16" spans="1:3" ht="30" customHeight="1" x14ac:dyDescent="0.25">
      <c r="A16" s="40" t="s">
        <v>160</v>
      </c>
      <c r="B16" s="75" t="str">
        <f>TEXT(Points,"0.0")&amp;" points ("&amp;TEXT(PointsAmt,"$#,##0")&amp;"). No origination fee, no processing fee, no exit fee."</f>
        <v>0.0 points ($0). No origination fee, no processing fee, no exit fee.</v>
      </c>
      <c r="C16" s="72"/>
    </row>
    <row r="17" spans="1:3" ht="30" customHeight="1" x14ac:dyDescent="0.25">
      <c r="A17" s="40" t="s">
        <v>110</v>
      </c>
      <c r="B17" s="75" t="str">
        <f>HoldMonths&amp;" months from the date of funding"</f>
        <v>9 months from the date of funding</v>
      </c>
      <c r="C17" s="72"/>
    </row>
    <row r="18" spans="1:3" ht="30" customHeight="1" x14ac:dyDescent="0.25">
      <c r="A18" s="40" t="s">
        <v>161</v>
      </c>
      <c r="B18" s="75" t="str">
        <f>"A flat "&amp;TEXT(Interest,"$#,##0")&amp;", quoted for the full "&amp;HoldMonths&amp;" months and payable in one payment at payoff."</f>
        <v>A flat $16,272, quoted for the full 9 months and payable in one payment at payoff.</v>
      </c>
      <c r="C18" s="72"/>
    </row>
    <row r="19" spans="1:3" ht="28.35" customHeight="1" x14ac:dyDescent="0.25">
      <c r="A19" s="40" t="s">
        <v>162</v>
      </c>
      <c r="B19" s="75" t="s">
        <v>163</v>
      </c>
      <c r="C19" s="72"/>
    </row>
    <row r="20" spans="1:3" ht="28.35" customHeight="1" x14ac:dyDescent="0.25">
      <c r="A20" s="40" t="s">
        <v>164</v>
      </c>
      <c r="B20" s="75" t="str">
        <f>MinIntMonths&amp;" months, which is "&amp;TEXT(MinIntPct,"0.0%")&amp;" of the loan ("&amp;TEXT(MinIntAmt,"$#,##0")&amp;"), earned even if we pay off sooner"</f>
        <v>3 months, which is 3.0% of the loan ($5,424), earned even if we pay off sooner</v>
      </c>
      <c r="C20" s="72"/>
    </row>
    <row r="21" spans="1:3" ht="30" customHeight="1" x14ac:dyDescent="0.25">
      <c r="A21" s="40" t="s">
        <v>165</v>
      </c>
      <c r="B21" s="75" t="s">
        <v>166</v>
      </c>
      <c r="C21" s="72"/>
    </row>
    <row r="22" spans="1:3" ht="30" customHeight="1" x14ac:dyDescent="0.25">
      <c r="A22" s="40" t="s">
        <v>167</v>
      </c>
      <c r="B22" s="75" t="s">
        <v>168</v>
      </c>
      <c r="C22" s="72"/>
    </row>
    <row r="23" spans="1:3" ht="28.35" customHeight="1" x14ac:dyDescent="0.25">
      <c r="A23" s="40" t="s">
        <v>169</v>
      </c>
      <c r="B23" s="75" t="s">
        <v>170</v>
      </c>
      <c r="C23" s="72"/>
    </row>
    <row r="24" spans="1:3" ht="30" customHeight="1" x14ac:dyDescent="0.25">
      <c r="A24" s="40" t="s">
        <v>171</v>
      </c>
      <c r="B24" s="75" t="str">
        <f>IF(Draws=0,"One advance of "&amp;TEXT(Loan,"$#,##0")&amp;" at closing.",TEXT(DayOne,"$#,##0")&amp;" at closing, then "&amp;TEXT(RehabTranche,"$#,##0")&amp;" in "&amp;Draws&amp;" draws against completed work.")</f>
        <v>$93,608 at closing, then $87,192 in 4 draws against completed work.</v>
      </c>
      <c r="C24" s="72"/>
    </row>
    <row r="25" spans="1:3" ht="28.35" customHeight="1" x14ac:dyDescent="0.25">
      <c r="A25" s="40" t="s">
        <v>172</v>
      </c>
      <c r="B25" s="75" t="s">
        <v>173</v>
      </c>
      <c r="C25" s="72"/>
    </row>
    <row r="26" spans="1:3" ht="41.1" customHeight="1" x14ac:dyDescent="0.25">
      <c r="A26" s="40" t="s">
        <v>174</v>
      </c>
      <c r="B26" s="75" t="s">
        <v>175</v>
      </c>
      <c r="C26" s="72"/>
    </row>
    <row r="27" spans="1:3" ht="28.35" customHeight="1" x14ac:dyDescent="0.25">
      <c r="A27" s="40" t="s">
        <v>176</v>
      </c>
      <c r="B27" s="75" t="s">
        <v>177</v>
      </c>
      <c r="C27" s="72"/>
    </row>
    <row r="28" spans="1:3" ht="30" customHeight="1" x14ac:dyDescent="0.25">
      <c r="A28" s="40" t="s">
        <v>178</v>
      </c>
      <c r="B28" s="75" t="s">
        <v>179</v>
      </c>
      <c r="C28" s="72"/>
    </row>
    <row r="29" spans="1:3" ht="30" customHeight="1" x14ac:dyDescent="0.25">
      <c r="A29" s="40" t="s">
        <v>180</v>
      </c>
      <c r="B29" s="75" t="s">
        <v>181</v>
      </c>
      <c r="C29" s="72"/>
    </row>
    <row r="31" spans="1:3" ht="28.35" customHeight="1" x14ac:dyDescent="0.25">
      <c r="A31" s="73" t="s">
        <v>182</v>
      </c>
      <c r="B31" s="74"/>
      <c r="C31" s="74"/>
    </row>
    <row r="33" spans="1:3" x14ac:dyDescent="0.25">
      <c r="A33" s="4" t="s">
        <v>183</v>
      </c>
      <c r="B33" s="5"/>
      <c r="C33" s="5"/>
    </row>
    <row r="34" spans="1:3" x14ac:dyDescent="0.25">
      <c r="A34" s="43" t="s">
        <v>184</v>
      </c>
      <c r="B34" s="15" t="s">
        <v>151</v>
      </c>
    </row>
    <row r="35" spans="1:3" x14ac:dyDescent="0.25">
      <c r="A35" s="3" t="s">
        <v>185</v>
      </c>
      <c r="B35" s="15" t="s">
        <v>186</v>
      </c>
    </row>
    <row r="37" spans="1:3" x14ac:dyDescent="0.25">
      <c r="A37" s="43" t="s">
        <v>187</v>
      </c>
      <c r="B37" s="15" t="s">
        <v>188</v>
      </c>
    </row>
    <row r="38" spans="1:3" x14ac:dyDescent="0.25">
      <c r="A38" s="3" t="s">
        <v>185</v>
      </c>
      <c r="B38" s="15" t="s">
        <v>186</v>
      </c>
    </row>
    <row r="40" spans="1:3" x14ac:dyDescent="0.25">
      <c r="A40" s="43" t="s">
        <v>189</v>
      </c>
      <c r="B40" s="15" t="s">
        <v>190</v>
      </c>
    </row>
    <row r="41" spans="1:3" x14ac:dyDescent="0.25">
      <c r="A41" s="3" t="s">
        <v>185</v>
      </c>
      <c r="B41" s="15" t="s">
        <v>186</v>
      </c>
    </row>
    <row r="43" spans="1:3" x14ac:dyDescent="0.25">
      <c r="A43" s="43" t="s">
        <v>189</v>
      </c>
      <c r="B43" s="15" t="s">
        <v>191</v>
      </c>
    </row>
    <row r="44" spans="1:3" x14ac:dyDescent="0.25">
      <c r="A44" s="3" t="s">
        <v>185</v>
      </c>
      <c r="B44" s="15" t="s">
        <v>186</v>
      </c>
    </row>
    <row r="46" spans="1:3" x14ac:dyDescent="0.25">
      <c r="A46" s="43" t="s">
        <v>189</v>
      </c>
      <c r="B46" s="15" t="s">
        <v>192</v>
      </c>
    </row>
    <row r="47" spans="1:3" x14ac:dyDescent="0.25">
      <c r="A47" s="3" t="s">
        <v>185</v>
      </c>
      <c r="B47" s="15" t="s">
        <v>186</v>
      </c>
    </row>
  </sheetData>
  <mergeCells count="23">
    <mergeCell ref="B6:C6"/>
    <mergeCell ref="B24:C24"/>
    <mergeCell ref="B15:C15"/>
    <mergeCell ref="B20:C20"/>
    <mergeCell ref="B26:C26"/>
    <mergeCell ref="B29:C29"/>
    <mergeCell ref="B19:C19"/>
    <mergeCell ref="A31:C31"/>
    <mergeCell ref="B10:C10"/>
    <mergeCell ref="B28:C28"/>
    <mergeCell ref="B27:C27"/>
    <mergeCell ref="B21:C21"/>
    <mergeCell ref="B23:C23"/>
    <mergeCell ref="B14:C14"/>
    <mergeCell ref="B17:C17"/>
    <mergeCell ref="B16:C16"/>
    <mergeCell ref="B7:C7"/>
    <mergeCell ref="B25:C25"/>
    <mergeCell ref="B22:C22"/>
    <mergeCell ref="B18:C18"/>
    <mergeCell ref="B8:C8"/>
    <mergeCell ref="B13:C13"/>
    <mergeCell ref="B9:C9"/>
  </mergeCells>
  <printOptions horizontalCentered="1"/>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9"/>
  <sheetViews>
    <sheetView workbookViewId="0">
      <pane ySplit="8" topLeftCell="A12" activePane="bottomLeft" state="frozen"/>
      <selection pane="bottomLeft" activeCell="C29" sqref="C29"/>
    </sheetView>
  </sheetViews>
  <sheetFormatPr defaultRowHeight="15" x14ac:dyDescent="0.25"/>
  <cols>
    <col min="1" max="1" width="54" customWidth="1"/>
    <col min="2" max="2" width="10" customWidth="1"/>
    <col min="3" max="3" width="54" customWidth="1"/>
    <col min="4" max="4" width="9" customWidth="1"/>
    <col min="5" max="5" width="14.42578125" customWidth="1"/>
    <col min="6" max="6" width="13" customWidth="1"/>
    <col min="7" max="7" width="16.42578125" customWidth="1"/>
    <col min="8" max="8" width="54" customWidth="1"/>
  </cols>
  <sheetData>
    <row r="1" spans="1:8" ht="19.5" x14ac:dyDescent="0.3">
      <c r="A1" s="1" t="s">
        <v>193</v>
      </c>
    </row>
    <row r="2" spans="1:8" x14ac:dyDescent="0.25">
      <c r="A2" s="2" t="s">
        <v>1</v>
      </c>
    </row>
    <row r="3" spans="1:8" x14ac:dyDescent="0.25">
      <c r="A3" s="3" t="s">
        <v>194</v>
      </c>
    </row>
    <row r="5" spans="1:8" x14ac:dyDescent="0.25">
      <c r="A5" s="6" t="s">
        <v>195</v>
      </c>
      <c r="B5" s="71" t="s">
        <v>1</v>
      </c>
      <c r="C5" s="72"/>
      <c r="E5" s="8" t="s">
        <v>9</v>
      </c>
      <c r="G5" s="11" t="s">
        <v>10</v>
      </c>
    </row>
    <row r="6" spans="1:8" x14ac:dyDescent="0.25">
      <c r="A6" s="6" t="s">
        <v>196</v>
      </c>
      <c r="B6" s="10">
        <v>948</v>
      </c>
      <c r="E6" s="8" t="s">
        <v>197</v>
      </c>
      <c r="G6" s="11" t="s">
        <v>198</v>
      </c>
    </row>
    <row r="8" spans="1:8" x14ac:dyDescent="0.25">
      <c r="A8" s="44" t="s">
        <v>199</v>
      </c>
      <c r="B8" s="45" t="s">
        <v>200</v>
      </c>
      <c r="C8" s="45" t="s">
        <v>201</v>
      </c>
      <c r="D8" s="45" t="s">
        <v>202</v>
      </c>
      <c r="E8" s="45" t="s">
        <v>203</v>
      </c>
      <c r="F8" s="45" t="s">
        <v>204</v>
      </c>
      <c r="G8" s="45" t="s">
        <v>41</v>
      </c>
      <c r="H8" s="45" t="s">
        <v>205</v>
      </c>
    </row>
    <row r="9" spans="1:8" x14ac:dyDescent="0.25">
      <c r="A9" s="4" t="s">
        <v>206</v>
      </c>
      <c r="B9" s="5"/>
      <c r="C9" s="5"/>
      <c r="D9" s="5"/>
      <c r="E9" s="5"/>
      <c r="F9" s="5"/>
      <c r="G9" s="5"/>
      <c r="H9" s="5"/>
    </row>
    <row r="10" spans="1:8" x14ac:dyDescent="0.25">
      <c r="A10" s="22" t="s">
        <v>207</v>
      </c>
      <c r="B10" s="46" t="s">
        <v>208</v>
      </c>
      <c r="C10" s="47" t="s">
        <v>209</v>
      </c>
      <c r="D10" s="48">
        <v>1</v>
      </c>
      <c r="E10" s="46" t="s">
        <v>210</v>
      </c>
      <c r="F10" s="49">
        <v>6046</v>
      </c>
      <c r="G10" s="50">
        <f>IF(B10="Y",D10*F10,0)</f>
        <v>6046</v>
      </c>
      <c r="H10" s="12"/>
    </row>
    <row r="11" spans="1:8" x14ac:dyDescent="0.25">
      <c r="A11" s="22" t="s">
        <v>211</v>
      </c>
      <c r="B11" s="46" t="s">
        <v>208</v>
      </c>
      <c r="C11" s="47" t="s">
        <v>212</v>
      </c>
      <c r="D11" s="48">
        <v>1</v>
      </c>
      <c r="E11" s="46" t="s">
        <v>210</v>
      </c>
      <c r="F11" s="49">
        <v>3598</v>
      </c>
      <c r="G11" s="50">
        <f>IF(B11="Y",D11*F11,0)</f>
        <v>3598</v>
      </c>
      <c r="H11" s="12"/>
    </row>
    <row r="12" spans="1:8" x14ac:dyDescent="0.25">
      <c r="A12" s="4" t="s">
        <v>213</v>
      </c>
      <c r="B12" s="5"/>
      <c r="C12" s="5"/>
      <c r="D12" s="5"/>
      <c r="E12" s="5"/>
      <c r="F12" s="5"/>
      <c r="G12" s="5"/>
      <c r="H12" s="5"/>
    </row>
    <row r="13" spans="1:8" ht="28.35" customHeight="1" x14ac:dyDescent="0.25">
      <c r="A13" s="22" t="s">
        <v>214</v>
      </c>
      <c r="B13" s="46" t="s">
        <v>208</v>
      </c>
      <c r="C13" s="47" t="s">
        <v>215</v>
      </c>
      <c r="D13" s="48">
        <v>1</v>
      </c>
      <c r="E13" s="46" t="s">
        <v>210</v>
      </c>
      <c r="F13" s="49">
        <v>11461</v>
      </c>
      <c r="G13" s="50">
        <f t="shared" ref="G13:G18" si="0">IF(B13="Y",D13*F13,0)</f>
        <v>11461</v>
      </c>
      <c r="H13" s="12"/>
    </row>
    <row r="14" spans="1:8" x14ac:dyDescent="0.25">
      <c r="A14" s="22" t="s">
        <v>216</v>
      </c>
      <c r="B14" s="46" t="s">
        <v>208</v>
      </c>
      <c r="C14" s="47" t="s">
        <v>217</v>
      </c>
      <c r="D14" s="48">
        <v>1</v>
      </c>
      <c r="E14" s="46" t="s">
        <v>210</v>
      </c>
      <c r="F14" s="49">
        <v>6090</v>
      </c>
      <c r="G14" s="50">
        <f t="shared" si="0"/>
        <v>6090</v>
      </c>
      <c r="H14" s="12"/>
    </row>
    <row r="15" spans="1:8" x14ac:dyDescent="0.25">
      <c r="A15" s="22" t="s">
        <v>218</v>
      </c>
      <c r="B15" s="46" t="s">
        <v>208</v>
      </c>
      <c r="C15" s="47" t="s">
        <v>219</v>
      </c>
      <c r="D15" s="48">
        <v>1</v>
      </c>
      <c r="E15" s="46" t="s">
        <v>210</v>
      </c>
      <c r="F15" s="49">
        <v>4776</v>
      </c>
      <c r="G15" s="50">
        <f t="shared" si="0"/>
        <v>4776</v>
      </c>
      <c r="H15" s="12"/>
    </row>
    <row r="16" spans="1:8" x14ac:dyDescent="0.25">
      <c r="A16" s="22" t="s">
        <v>220</v>
      </c>
      <c r="B16" s="46" t="s">
        <v>208</v>
      </c>
      <c r="C16" s="47" t="s">
        <v>221</v>
      </c>
      <c r="D16" s="48">
        <v>1</v>
      </c>
      <c r="E16" s="46" t="s">
        <v>210</v>
      </c>
      <c r="F16" s="49">
        <v>1455</v>
      </c>
      <c r="G16" s="50">
        <f t="shared" si="0"/>
        <v>1455</v>
      </c>
      <c r="H16" s="12"/>
    </row>
    <row r="17" spans="1:8" ht="28.35" customHeight="1" x14ac:dyDescent="0.25">
      <c r="A17" s="22" t="s">
        <v>222</v>
      </c>
      <c r="B17" s="46" t="s">
        <v>208</v>
      </c>
      <c r="C17" s="47" t="s">
        <v>223</v>
      </c>
      <c r="D17" s="48">
        <v>1</v>
      </c>
      <c r="E17" s="46" t="s">
        <v>210</v>
      </c>
      <c r="F17" s="49">
        <v>14220</v>
      </c>
      <c r="G17" s="50">
        <f t="shared" si="0"/>
        <v>14220</v>
      </c>
      <c r="H17" s="12"/>
    </row>
    <row r="18" spans="1:8" x14ac:dyDescent="0.25">
      <c r="A18" s="22" t="s">
        <v>224</v>
      </c>
      <c r="B18" s="46" t="s">
        <v>208</v>
      </c>
      <c r="C18" s="47" t="s">
        <v>225</v>
      </c>
      <c r="D18" s="48">
        <v>1</v>
      </c>
      <c r="E18" s="46" t="s">
        <v>210</v>
      </c>
      <c r="F18" s="49">
        <v>4400</v>
      </c>
      <c r="G18" s="50">
        <f t="shared" si="0"/>
        <v>4400</v>
      </c>
      <c r="H18" s="12"/>
    </row>
    <row r="19" spans="1:8" x14ac:dyDescent="0.25">
      <c r="A19" s="4" t="s">
        <v>226</v>
      </c>
      <c r="B19" s="5"/>
      <c r="C19" s="5"/>
      <c r="D19" s="5"/>
      <c r="E19" s="5"/>
      <c r="F19" s="5"/>
      <c r="G19" s="5"/>
      <c r="H19" s="5"/>
    </row>
    <row r="20" spans="1:8" x14ac:dyDescent="0.25">
      <c r="A20" s="22" t="s">
        <v>227</v>
      </c>
      <c r="B20" s="46" t="s">
        <v>208</v>
      </c>
      <c r="C20" s="47" t="s">
        <v>228</v>
      </c>
      <c r="D20" s="48">
        <v>1</v>
      </c>
      <c r="E20" s="46" t="s">
        <v>210</v>
      </c>
      <c r="F20" s="49">
        <v>7207</v>
      </c>
      <c r="G20" s="50">
        <f>IF(B20="Y",D20*F20,0)</f>
        <v>7207</v>
      </c>
      <c r="H20" s="12"/>
    </row>
    <row r="21" spans="1:8" x14ac:dyDescent="0.25">
      <c r="A21" s="22" t="s">
        <v>229</v>
      </c>
      <c r="B21" s="46" t="s">
        <v>208</v>
      </c>
      <c r="C21" s="47" t="s">
        <v>230</v>
      </c>
      <c r="D21" s="48">
        <v>1</v>
      </c>
      <c r="E21" s="46" t="s">
        <v>210</v>
      </c>
      <c r="F21" s="49">
        <v>2882</v>
      </c>
      <c r="G21" s="50">
        <f>IF(B21="Y",D21*F21,0)</f>
        <v>2882</v>
      </c>
      <c r="H21" s="12"/>
    </row>
    <row r="22" spans="1:8" x14ac:dyDescent="0.25">
      <c r="A22" s="22" t="s">
        <v>231</v>
      </c>
      <c r="B22" s="46" t="s">
        <v>208</v>
      </c>
      <c r="C22" s="47" t="s">
        <v>232</v>
      </c>
      <c r="D22" s="48">
        <v>1</v>
      </c>
      <c r="E22" s="46" t="s">
        <v>210</v>
      </c>
      <c r="F22" s="49">
        <v>3850</v>
      </c>
      <c r="G22" s="50">
        <f>IF(B22="Y",D22*F22,0)</f>
        <v>3850</v>
      </c>
      <c r="H22" s="12"/>
    </row>
    <row r="23" spans="1:8" x14ac:dyDescent="0.25">
      <c r="A23" s="4" t="s">
        <v>233</v>
      </c>
      <c r="B23" s="5"/>
      <c r="C23" s="5"/>
      <c r="D23" s="5"/>
      <c r="E23" s="5"/>
      <c r="F23" s="5"/>
      <c r="G23" s="5"/>
      <c r="H23" s="5"/>
    </row>
    <row r="24" spans="1:8" ht="28.35" customHeight="1" x14ac:dyDescent="0.25">
      <c r="A24" s="22" t="s">
        <v>234</v>
      </c>
      <c r="B24" s="46" t="s">
        <v>208</v>
      </c>
      <c r="C24" s="47" t="s">
        <v>235</v>
      </c>
      <c r="D24" s="48">
        <v>1</v>
      </c>
      <c r="E24" s="46" t="s">
        <v>210</v>
      </c>
      <c r="F24" s="49">
        <v>11497</v>
      </c>
      <c r="G24" s="50">
        <f>IF(B24="Y",D24*F24,0)</f>
        <v>11497</v>
      </c>
      <c r="H24" s="12"/>
    </row>
    <row r="25" spans="1:8" ht="79.5" customHeight="1" x14ac:dyDescent="0.25">
      <c r="A25" s="22" t="s">
        <v>236</v>
      </c>
      <c r="B25" s="46" t="s">
        <v>208</v>
      </c>
      <c r="C25" s="51" t="s">
        <v>237</v>
      </c>
      <c r="D25" s="48">
        <v>1</v>
      </c>
      <c r="E25" s="46" t="s">
        <v>210</v>
      </c>
      <c r="F25" s="52">
        <v>22450</v>
      </c>
      <c r="G25" s="53">
        <f>IF(B25="Y",D25*F25,0)</f>
        <v>22450</v>
      </c>
      <c r="H25" s="54" t="s">
        <v>238</v>
      </c>
    </row>
    <row r="26" spans="1:8" ht="41.1" customHeight="1" x14ac:dyDescent="0.25">
      <c r="A26" s="22" t="s">
        <v>239</v>
      </c>
      <c r="B26" s="46" t="s">
        <v>208</v>
      </c>
      <c r="C26" s="47" t="s">
        <v>240</v>
      </c>
      <c r="D26" s="48">
        <v>1</v>
      </c>
      <c r="E26" s="46" t="s">
        <v>210</v>
      </c>
      <c r="F26" s="49">
        <v>-12740</v>
      </c>
      <c r="G26" s="50">
        <f>IF(B26="Y",D26*F26,0)</f>
        <v>-12740</v>
      </c>
      <c r="H26" s="12" t="s">
        <v>241</v>
      </c>
    </row>
    <row r="28" spans="1:8" x14ac:dyDescent="0.25">
      <c r="A28" s="55" t="s">
        <v>242</v>
      </c>
      <c r="G28" s="56">
        <f>SUM(G10:G26)</f>
        <v>87192</v>
      </c>
    </row>
    <row r="29" spans="1:8" x14ac:dyDescent="0.25">
      <c r="A29" s="3" t="s">
        <v>243</v>
      </c>
      <c r="G29" s="57">
        <f>COUNTIF(B10:B26,"Y")</f>
        <v>14</v>
      </c>
    </row>
  </sheetData>
  <mergeCells count="1">
    <mergeCell ref="B5:C5"/>
  </mergeCells>
  <printOptions horizontalCentered="1"/>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19"/>
  <sheetViews>
    <sheetView workbookViewId="0"/>
  </sheetViews>
  <sheetFormatPr defaultRowHeight="15" x14ac:dyDescent="0.25"/>
  <cols>
    <col min="1" max="1" width="54" customWidth="1"/>
    <col min="2" max="2" width="18" customWidth="1"/>
    <col min="3" max="3" width="26" customWidth="1"/>
    <col min="4" max="4" width="34" customWidth="1"/>
  </cols>
  <sheetData>
    <row r="1" spans="1:4" ht="19.5" x14ac:dyDescent="0.3">
      <c r="A1" s="1" t="s">
        <v>244</v>
      </c>
    </row>
    <row r="2" spans="1:4" x14ac:dyDescent="0.25">
      <c r="A2" s="2" t="s">
        <v>245</v>
      </c>
    </row>
    <row r="5" spans="1:4" x14ac:dyDescent="0.25">
      <c r="A5" s="4" t="s">
        <v>246</v>
      </c>
      <c r="B5" s="5"/>
      <c r="C5" s="5"/>
    </row>
    <row r="6" spans="1:4" x14ac:dyDescent="0.25">
      <c r="A6" s="6" t="s">
        <v>247</v>
      </c>
      <c r="B6" s="38">
        <f>ARVLo</f>
        <v>215000</v>
      </c>
    </row>
    <row r="7" spans="1:4" x14ac:dyDescent="0.25">
      <c r="A7" s="36" t="s">
        <v>248</v>
      </c>
      <c r="B7" s="41">
        <f>ARV</f>
        <v>225000</v>
      </c>
    </row>
    <row r="8" spans="1:4" x14ac:dyDescent="0.25">
      <c r="A8" s="6" t="s">
        <v>249</v>
      </c>
      <c r="B8" s="38">
        <f>ARVHi</f>
        <v>235000</v>
      </c>
    </row>
    <row r="9" spans="1:4" x14ac:dyDescent="0.25">
      <c r="A9" s="6" t="s">
        <v>250</v>
      </c>
      <c r="B9" s="58">
        <f>IFERROR(ARV/948,0)</f>
        <v>237.34177215189874</v>
      </c>
    </row>
    <row r="10" spans="1:4" x14ac:dyDescent="0.25">
      <c r="A10" s="6" t="s">
        <v>251</v>
      </c>
      <c r="B10" s="59">
        <f>IFERROR((ARVHi-ARVLo)/ARVLo,0)</f>
        <v>9.3023255813953487E-2</v>
      </c>
    </row>
    <row r="11" spans="1:4" x14ac:dyDescent="0.25">
      <c r="A11" s="6" t="s">
        <v>252</v>
      </c>
      <c r="B11" s="38">
        <f>SellCosts</f>
        <v>13382.5</v>
      </c>
    </row>
    <row r="12" spans="1:4" x14ac:dyDescent="0.25">
      <c r="A12" s="36" t="s">
        <v>253</v>
      </c>
      <c r="B12" s="41">
        <f>NetPoint</f>
        <v>211617.5</v>
      </c>
    </row>
    <row r="14" spans="1:4" ht="66.75" customHeight="1" x14ac:dyDescent="0.25">
      <c r="A14" s="78" t="s">
        <v>254</v>
      </c>
      <c r="B14" s="74"/>
      <c r="C14" s="74"/>
      <c r="D14" s="74"/>
    </row>
    <row r="16" spans="1:4" x14ac:dyDescent="0.25">
      <c r="A16" s="4" t="s">
        <v>255</v>
      </c>
      <c r="B16" s="5"/>
      <c r="C16" s="5"/>
    </row>
    <row r="17" spans="1:4" x14ac:dyDescent="0.25">
      <c r="A17" s="36" t="s">
        <v>256</v>
      </c>
      <c r="B17" s="41">
        <f>AsIs</f>
        <v>70000</v>
      </c>
    </row>
    <row r="18" spans="1:4" x14ac:dyDescent="0.25">
      <c r="A18" s="6" t="s">
        <v>257</v>
      </c>
      <c r="B18" s="60">
        <f>DayOneCover</f>
        <v>0.74779933339030857</v>
      </c>
    </row>
    <row r="19" spans="1:4" ht="41.1" customHeight="1" x14ac:dyDescent="0.25">
      <c r="A19" s="78" t="s">
        <v>258</v>
      </c>
      <c r="B19" s="74"/>
      <c r="C19" s="74"/>
      <c r="D19" s="74"/>
    </row>
  </sheetData>
  <mergeCells count="2">
    <mergeCell ref="A19:D19"/>
    <mergeCell ref="A14:D14"/>
  </mergeCells>
  <printOptions horizontalCentered="1"/>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18"/>
  <sheetViews>
    <sheetView tabSelected="1" workbookViewId="0"/>
  </sheetViews>
  <sheetFormatPr defaultRowHeight="15" x14ac:dyDescent="0.25"/>
  <cols>
    <col min="1" max="1" width="54" customWidth="1"/>
    <col min="2" max="3" width="14.42578125" customWidth="1"/>
    <col min="4" max="5" width="9" customWidth="1"/>
    <col min="6" max="6" width="12.42578125" customWidth="1"/>
    <col min="7" max="8" width="14.42578125" customWidth="1"/>
    <col min="9" max="9" width="54" customWidth="1"/>
  </cols>
  <sheetData>
    <row r="1" spans="1:9" ht="19.5" x14ac:dyDescent="0.3">
      <c r="A1" s="1" t="s">
        <v>259</v>
      </c>
    </row>
    <row r="2" spans="1:9" x14ac:dyDescent="0.25">
      <c r="A2" s="2" t="s">
        <v>260</v>
      </c>
    </row>
    <row r="3" spans="1:9" x14ac:dyDescent="0.25">
      <c r="A3" s="3" t="s">
        <v>261</v>
      </c>
    </row>
    <row r="5" spans="1:9" x14ac:dyDescent="0.25">
      <c r="A5" s="44" t="s">
        <v>195</v>
      </c>
      <c r="B5" s="45" t="s">
        <v>262</v>
      </c>
      <c r="C5" s="45" t="s">
        <v>263</v>
      </c>
      <c r="D5" s="45" t="s">
        <v>264</v>
      </c>
      <c r="E5" s="45" t="s">
        <v>265</v>
      </c>
      <c r="F5" s="45" t="s">
        <v>266</v>
      </c>
      <c r="G5" s="45" t="s">
        <v>267</v>
      </c>
      <c r="H5" s="45" t="s">
        <v>268</v>
      </c>
      <c r="I5" s="45" t="s">
        <v>269</v>
      </c>
    </row>
    <row r="6" spans="1:9" ht="79.5" customHeight="1" x14ac:dyDescent="0.25">
      <c r="A6" s="15" t="s">
        <v>270</v>
      </c>
      <c r="B6" t="s">
        <v>271</v>
      </c>
      <c r="C6" s="61">
        <v>936</v>
      </c>
      <c r="D6">
        <v>3</v>
      </c>
      <c r="E6">
        <v>1</v>
      </c>
      <c r="F6" t="s">
        <v>272</v>
      </c>
      <c r="G6" s="16">
        <v>224900</v>
      </c>
      <c r="H6" s="17">
        <f>IFERROR(G6/C6,"")</f>
        <v>240.27777777777777</v>
      </c>
      <c r="I6" s="62" t="s">
        <v>273</v>
      </c>
    </row>
    <row r="7" spans="1:9" ht="41.1" customHeight="1" x14ac:dyDescent="0.25">
      <c r="A7" s="15" t="s">
        <v>274</v>
      </c>
      <c r="B7" t="s">
        <v>275</v>
      </c>
      <c r="C7" s="61">
        <v>906</v>
      </c>
      <c r="D7">
        <v>3</v>
      </c>
      <c r="E7">
        <v>1</v>
      </c>
      <c r="F7" t="s">
        <v>276</v>
      </c>
      <c r="G7" s="16">
        <v>215000</v>
      </c>
      <c r="H7" s="17">
        <f>IFERROR(G7/C7,"")</f>
        <v>237.30684326710818</v>
      </c>
      <c r="I7" s="62" t="s">
        <v>277</v>
      </c>
    </row>
    <row r="8" spans="1:9" ht="41.1" customHeight="1" x14ac:dyDescent="0.25">
      <c r="A8" s="15" t="s">
        <v>278</v>
      </c>
      <c r="B8" t="s">
        <v>279</v>
      </c>
      <c r="C8" s="61">
        <v>1008</v>
      </c>
      <c r="D8">
        <v>3</v>
      </c>
      <c r="E8">
        <v>1</v>
      </c>
      <c r="F8" t="s">
        <v>280</v>
      </c>
      <c r="G8" s="16">
        <v>224999</v>
      </c>
      <c r="H8" s="17">
        <f>IFERROR(G8/C8,"")</f>
        <v>223.21329365079364</v>
      </c>
      <c r="I8" s="62" t="s">
        <v>281</v>
      </c>
    </row>
    <row r="9" spans="1:9" ht="41.1" customHeight="1" x14ac:dyDescent="0.25">
      <c r="A9" s="15" t="s">
        <v>282</v>
      </c>
      <c r="B9" t="s">
        <v>283</v>
      </c>
      <c r="C9" s="61">
        <v>900</v>
      </c>
      <c r="D9">
        <v>3</v>
      </c>
      <c r="E9">
        <v>1</v>
      </c>
      <c r="F9" t="s">
        <v>284</v>
      </c>
      <c r="G9" s="16">
        <v>209000</v>
      </c>
      <c r="H9" s="17">
        <f>IFERROR(G9/C9,"")</f>
        <v>232.22222222222223</v>
      </c>
      <c r="I9" s="62" t="s">
        <v>285</v>
      </c>
    </row>
    <row r="10" spans="1:9" ht="66.75" customHeight="1" x14ac:dyDescent="0.25">
      <c r="A10" s="15" t="s">
        <v>286</v>
      </c>
      <c r="B10" t="s">
        <v>287</v>
      </c>
      <c r="C10" s="61">
        <v>906</v>
      </c>
      <c r="D10">
        <v>3</v>
      </c>
      <c r="E10">
        <v>1</v>
      </c>
      <c r="F10" t="s">
        <v>288</v>
      </c>
      <c r="G10" s="16">
        <v>280000</v>
      </c>
      <c r="H10" s="17">
        <f>IFERROR(G10/C10,"")</f>
        <v>309.05077262693158</v>
      </c>
      <c r="I10" s="62" t="s">
        <v>289</v>
      </c>
    </row>
    <row r="11" spans="1:9" x14ac:dyDescent="0.25">
      <c r="A11" s="63" t="s">
        <v>290</v>
      </c>
      <c r="C11" s="64">
        <f>IFERROR(AVERAGE(C6:C10),"")</f>
        <v>931.2</v>
      </c>
      <c r="G11" s="23">
        <f>IFERROR(AVERAGE(G6:G10),"")</f>
        <v>230779.8</v>
      </c>
      <c r="H11" s="23">
        <f>IFERROR(AVERAGE(H6:H10),"")</f>
        <v>248.41418190896667</v>
      </c>
    </row>
    <row r="12" spans="1:9" x14ac:dyDescent="0.25">
      <c r="A12" s="63" t="s">
        <v>291</v>
      </c>
      <c r="C12" s="64">
        <f>IFERROR(MEDIAN(C6:C10),"")</f>
        <v>906</v>
      </c>
      <c r="G12" s="23">
        <f>IFERROR(MEDIAN(G6:G10),"")</f>
        <v>224900</v>
      </c>
      <c r="H12" s="23">
        <f>IFERROR(MEDIAN(H6:H10),"")</f>
        <v>237.30684326710818</v>
      </c>
    </row>
    <row r="14" spans="1:9" x14ac:dyDescent="0.25">
      <c r="A14" s="36" t="s">
        <v>292</v>
      </c>
      <c r="B14" s="41">
        <f>ARV</f>
        <v>225000</v>
      </c>
    </row>
    <row r="16" spans="1:9" ht="28.35" customHeight="1" x14ac:dyDescent="0.25">
      <c r="A16" s="79" t="s">
        <v>293</v>
      </c>
      <c r="B16" s="74"/>
      <c r="C16" s="74"/>
      <c r="D16" s="74"/>
      <c r="E16" s="74"/>
      <c r="F16" s="74"/>
      <c r="G16" s="74"/>
      <c r="H16" s="74"/>
      <c r="I16" s="74"/>
    </row>
    <row r="18" spans="1:9" ht="44.1" customHeight="1" x14ac:dyDescent="0.25">
      <c r="A18" s="79" t="s">
        <v>294</v>
      </c>
      <c r="B18" s="74"/>
      <c r="C18" s="74"/>
      <c r="D18" s="74"/>
      <c r="E18" s="74"/>
      <c r="F18" s="74"/>
      <c r="G18" s="74"/>
      <c r="H18" s="74"/>
      <c r="I18" s="74"/>
    </row>
  </sheetData>
  <mergeCells count="2">
    <mergeCell ref="A18:I18"/>
    <mergeCell ref="A16:I16"/>
  </mergeCells>
  <printOptions horizontalCentered="1"/>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D37"/>
  <sheetViews>
    <sheetView workbookViewId="0"/>
  </sheetViews>
  <sheetFormatPr defaultRowHeight="15" x14ac:dyDescent="0.25"/>
  <cols>
    <col min="1" max="1" width="54" customWidth="1"/>
    <col min="2" max="2" width="36.42578125" customWidth="1"/>
    <col min="3" max="4" width="54" customWidth="1"/>
  </cols>
  <sheetData>
    <row r="1" spans="1:4" ht="19.5" x14ac:dyDescent="0.3">
      <c r="A1" s="1" t="s">
        <v>295</v>
      </c>
    </row>
    <row r="2" spans="1:4" x14ac:dyDescent="0.25">
      <c r="A2" s="2" t="s">
        <v>296</v>
      </c>
    </row>
    <row r="5" spans="1:4" x14ac:dyDescent="0.25">
      <c r="A5" s="4" t="s">
        <v>297</v>
      </c>
      <c r="B5" s="5"/>
      <c r="C5" s="5"/>
      <c r="D5" s="5"/>
    </row>
    <row r="6" spans="1:4" x14ac:dyDescent="0.25">
      <c r="A6" s="44" t="s">
        <v>298</v>
      </c>
      <c r="B6" s="45" t="s">
        <v>299</v>
      </c>
      <c r="C6" s="45" t="s">
        <v>300</v>
      </c>
      <c r="D6" s="45" t="s">
        <v>301</v>
      </c>
    </row>
    <row r="7" spans="1:4" x14ac:dyDescent="0.25">
      <c r="A7" s="15" t="s">
        <v>302</v>
      </c>
      <c r="B7" s="17">
        <f>NetPoint</f>
        <v>211617.5</v>
      </c>
      <c r="C7" s="65">
        <f>CoverPoint</f>
        <v>1.073808049849801</v>
      </c>
      <c r="D7" s="42" t="str">
        <f>IF(CoverPoint&gt;=1,"Yes, paid in full","No")</f>
        <v>Yes, paid in full</v>
      </c>
    </row>
    <row r="8" spans="1:4" x14ac:dyDescent="0.25">
      <c r="A8" s="15" t="s">
        <v>303</v>
      </c>
      <c r="B8" s="17">
        <f>NetLo</f>
        <v>202154.5</v>
      </c>
      <c r="C8" s="65">
        <f>CoverFloor</f>
        <v>1.0257900665746529</v>
      </c>
      <c r="D8" s="42" t="str">
        <f>IF(CoverFloor&gt;=1,"Yes, paid in full","Short by "&amp;TEXT(Payoff-NetLo,"$#,##0")&amp;", covered by the personal guarantee")</f>
        <v>Yes, paid in full</v>
      </c>
    </row>
    <row r="9" spans="1:4" ht="28.35" customHeight="1" x14ac:dyDescent="0.25">
      <c r="A9" s="66" t="s">
        <v>304</v>
      </c>
      <c r="B9" s="80" t="s">
        <v>305</v>
      </c>
      <c r="C9" s="74"/>
      <c r="D9" s="67" t="s">
        <v>306</v>
      </c>
    </row>
    <row r="10" spans="1:4" ht="28.35" customHeight="1" x14ac:dyDescent="0.25">
      <c r="A10" s="66" t="s">
        <v>307</v>
      </c>
      <c r="B10" s="80" t="s">
        <v>308</v>
      </c>
      <c r="C10" s="74"/>
      <c r="D10" s="67" t="s">
        <v>309</v>
      </c>
    </row>
    <row r="11" spans="1:4" ht="28.35" customHeight="1" x14ac:dyDescent="0.25">
      <c r="A11" s="66" t="s">
        <v>310</v>
      </c>
      <c r="B11" s="80" t="s">
        <v>311</v>
      </c>
      <c r="C11" s="74"/>
      <c r="D11" s="67" t="s">
        <v>306</v>
      </c>
    </row>
    <row r="12" spans="1:4" ht="28.35" customHeight="1" x14ac:dyDescent="0.25">
      <c r="A12" s="66" t="s">
        <v>312</v>
      </c>
      <c r="B12" s="80" t="s">
        <v>313</v>
      </c>
      <c r="C12" s="74"/>
      <c r="D12" s="67" t="s">
        <v>314</v>
      </c>
    </row>
    <row r="14" spans="1:4" x14ac:dyDescent="0.25">
      <c r="A14" s="4" t="s">
        <v>315</v>
      </c>
      <c r="B14" s="5"/>
      <c r="C14" s="5"/>
      <c r="D14" s="5"/>
    </row>
    <row r="15" spans="1:4" x14ac:dyDescent="0.25">
      <c r="A15" s="36" t="s">
        <v>316</v>
      </c>
      <c r="B15" s="68">
        <f>LTV</f>
        <v>0.80355555555555558</v>
      </c>
    </row>
    <row r="16" spans="1:4" x14ac:dyDescent="0.25">
      <c r="A16" s="6" t="s">
        <v>317</v>
      </c>
      <c r="B16" s="59">
        <v>0.75</v>
      </c>
    </row>
    <row r="17" spans="1:4" x14ac:dyDescent="0.25">
      <c r="A17" s="6" t="s">
        <v>318</v>
      </c>
      <c r="B17" s="38">
        <f>TargetLoan</f>
        <v>168750</v>
      </c>
    </row>
    <row r="18" spans="1:4" x14ac:dyDescent="0.25">
      <c r="A18" s="6" t="s">
        <v>319</v>
      </c>
      <c r="B18" s="38">
        <f>ExtraCash</f>
        <v>12050</v>
      </c>
    </row>
    <row r="19" spans="1:4" ht="41.1" customHeight="1" x14ac:dyDescent="0.25">
      <c r="A19" s="78" t="str">
        <f>IF(LTV&gt;0.75,"This loan is at "&amp;TEXT(LTV,"0.0%")&amp;" of the ask, which is above the 75% a conservative private lender usually wants, and we are not going to bury that. Your day one advance is "&amp;TEXT(DayOne,"$#,##0")&amp;" against a house worth "&amp;TEXT(AsIs,"$#,##0")&amp;" today"&amp;IF(Draws&gt;0,", and the balance only funds against work that is already in the building","")&amp;". On top of that, every member of the company personally guarantees the note, so a shortfall is covered by us and not by you. If you would still rather sit at 75%, we will bring "&amp;TEXT(ExtraCash,"$#,##0")&amp;" to closing and write it at "&amp;TEXT(TargetLoan,"$#,##0")&amp;". Your call.","This loan is at "&amp;TEXT(LTV,"0.0%")&amp;" of the ask, comfortably inside the 75% ceiling a conservative private lender wants, and there is nothing to explain away.")</f>
        <v>This loan is at 80.4% of the ask, which is above the 75% a conservative private lender usually wants, and we are not going to bury that. Your day one advance is $93,608 against a house worth $70,000 today, and the balance only funds against work that is already in the building. On top of that, every member of the company personally guarantees the note, so a shortfall is covered by us and not by you. If you would still rather sit at 75%, we will bring $12,050 to closing and write it at $168,750. Your call.</v>
      </c>
      <c r="B19" s="74"/>
      <c r="C19" s="74"/>
      <c r="D19" s="74"/>
    </row>
    <row r="21" spans="1:4" x14ac:dyDescent="0.25">
      <c r="A21" s="4" t="s">
        <v>320</v>
      </c>
      <c r="B21" s="5"/>
      <c r="C21" s="5"/>
      <c r="D21" s="5"/>
    </row>
    <row r="22" spans="1:4" x14ac:dyDescent="0.25">
      <c r="A22" s="44" t="s">
        <v>321</v>
      </c>
      <c r="B22" s="45" t="s">
        <v>322</v>
      </c>
      <c r="C22" s="45" t="s">
        <v>323</v>
      </c>
      <c r="D22" s="45" t="s">
        <v>324</v>
      </c>
    </row>
    <row r="23" spans="1:4" ht="41.1" customHeight="1" x14ac:dyDescent="0.25">
      <c r="A23" s="66" t="s">
        <v>325</v>
      </c>
      <c r="B23" s="17">
        <v>200000</v>
      </c>
      <c r="C23" s="67" t="s">
        <v>326</v>
      </c>
      <c r="D23" s="62" t="s">
        <v>327</v>
      </c>
    </row>
    <row r="24" spans="1:4" ht="53.85" customHeight="1" x14ac:dyDescent="0.25">
      <c r="A24" s="66" t="s">
        <v>328</v>
      </c>
      <c r="B24" s="17">
        <v>104500</v>
      </c>
      <c r="C24" s="67" t="s">
        <v>329</v>
      </c>
      <c r="D24" s="62" t="s">
        <v>330</v>
      </c>
    </row>
    <row r="25" spans="1:4" ht="53.85" customHeight="1" x14ac:dyDescent="0.25">
      <c r="A25" s="66" t="s">
        <v>331</v>
      </c>
      <c r="B25" s="69" t="s">
        <v>332</v>
      </c>
      <c r="C25" s="67" t="s">
        <v>333</v>
      </c>
      <c r="D25" s="62" t="s">
        <v>334</v>
      </c>
    </row>
    <row r="26" spans="1:4" ht="53.85" customHeight="1" x14ac:dyDescent="0.25">
      <c r="A26" s="66" t="s">
        <v>335</v>
      </c>
      <c r="B26" s="17">
        <v>168750</v>
      </c>
      <c r="C26" s="70" t="s">
        <v>336</v>
      </c>
      <c r="D26" s="62" t="s">
        <v>337</v>
      </c>
    </row>
    <row r="28" spans="1:4" x14ac:dyDescent="0.25">
      <c r="A28" s="4" t="s">
        <v>338</v>
      </c>
      <c r="B28" s="5"/>
      <c r="C28" s="5"/>
      <c r="D28" s="5"/>
    </row>
    <row r="29" spans="1:4" x14ac:dyDescent="0.25">
      <c r="A29" s="44" t="s">
        <v>339</v>
      </c>
      <c r="B29" s="45" t="s">
        <v>340</v>
      </c>
      <c r="C29" s="45" t="s">
        <v>341</v>
      </c>
      <c r="D29" s="45" t="s">
        <v>342</v>
      </c>
    </row>
    <row r="30" spans="1:4" ht="66.75" customHeight="1" x14ac:dyDescent="0.25">
      <c r="A30" s="40" t="s">
        <v>343</v>
      </c>
      <c r="B30" s="40" t="s">
        <v>344</v>
      </c>
      <c r="C30" s="40" t="s">
        <v>345</v>
      </c>
      <c r="D30" s="62" t="s">
        <v>346</v>
      </c>
    </row>
    <row r="31" spans="1:4" ht="28.35" customHeight="1" x14ac:dyDescent="0.25">
      <c r="A31" s="40" t="s">
        <v>347</v>
      </c>
      <c r="B31" s="40" t="s">
        <v>344</v>
      </c>
      <c r="C31" s="40" t="s">
        <v>348</v>
      </c>
      <c r="D31" s="62" t="s">
        <v>349</v>
      </c>
    </row>
    <row r="32" spans="1:4" ht="28.35" customHeight="1" x14ac:dyDescent="0.25">
      <c r="A32" s="40" t="s">
        <v>350</v>
      </c>
      <c r="B32" s="40" t="s">
        <v>351</v>
      </c>
      <c r="C32" s="40" t="s">
        <v>352</v>
      </c>
      <c r="D32" s="62" t="s">
        <v>353</v>
      </c>
    </row>
    <row r="33" spans="1:4" ht="79.5" customHeight="1" x14ac:dyDescent="0.25">
      <c r="A33" s="40" t="s">
        <v>354</v>
      </c>
      <c r="B33" s="40" t="s">
        <v>355</v>
      </c>
      <c r="C33" s="40" t="s">
        <v>356</v>
      </c>
      <c r="D33" s="62" t="s">
        <v>357</v>
      </c>
    </row>
    <row r="34" spans="1:4" ht="92.25" customHeight="1" x14ac:dyDescent="0.25">
      <c r="A34" s="40" t="s">
        <v>358</v>
      </c>
      <c r="B34" s="40" t="s">
        <v>359</v>
      </c>
      <c r="C34" s="40" t="s">
        <v>360</v>
      </c>
      <c r="D34" s="62" t="s">
        <v>361</v>
      </c>
    </row>
    <row r="36" spans="1:4" x14ac:dyDescent="0.25">
      <c r="A36" s="4" t="s">
        <v>362</v>
      </c>
      <c r="B36" s="5"/>
      <c r="C36" s="5"/>
      <c r="D36" s="5"/>
    </row>
    <row r="37" spans="1:4" ht="28.35" customHeight="1" x14ac:dyDescent="0.25">
      <c r="A37" s="78" t="s">
        <v>363</v>
      </c>
      <c r="B37" s="74"/>
      <c r="C37" s="74"/>
      <c r="D37" s="74"/>
    </row>
  </sheetData>
  <mergeCells count="6">
    <mergeCell ref="A37:D37"/>
    <mergeCell ref="B11:C11"/>
    <mergeCell ref="B10:C10"/>
    <mergeCell ref="A19:D19"/>
    <mergeCell ref="B9:C9"/>
    <mergeCell ref="B12:C12"/>
  </mergeCells>
  <printOptions horizontalCentered="1"/>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vt:i4>
      </vt:variant>
    </vt:vector>
  </HeadingPairs>
  <TitlesOfParts>
    <vt:vector size="53" baseType="lpstr">
      <vt:lpstr>Deal Overview</vt:lpstr>
      <vt:lpstr>Your Investment</vt:lpstr>
      <vt:lpstr>Term Sheet</vt:lpstr>
      <vt:lpstr>Repair Costs</vt:lpstr>
      <vt:lpstr>Resale Value</vt:lpstr>
      <vt:lpstr>Comps</vt:lpstr>
      <vt:lpstr>Backups and Risk</vt:lpstr>
      <vt:lpstr>AnnYield</vt:lpstr>
      <vt:lpstr>ARV</vt:lpstr>
      <vt:lpstr>ARVHi</vt:lpstr>
      <vt:lpstr>ARVLo</vt:lpstr>
      <vt:lpstr>AsIs</vt:lpstr>
      <vt:lpstr>BorrowerCash</vt:lpstr>
      <vt:lpstr>BuyCosts</vt:lpstr>
      <vt:lpstr>CoverFloor</vt:lpstr>
      <vt:lpstr>CoverPoint</vt:lpstr>
      <vt:lpstr>DayOne</vt:lpstr>
      <vt:lpstr>DayOneCover</vt:lpstr>
      <vt:lpstr>Draws</vt:lpstr>
      <vt:lpstr>Equity</vt:lpstr>
      <vt:lpstr>EquityPct</vt:lpstr>
      <vt:lpstr>ExtraCash</vt:lpstr>
      <vt:lpstr>FinCosts</vt:lpstr>
      <vt:lpstr>HoldMonthly</vt:lpstr>
      <vt:lpstr>HoldMonths</vt:lpstr>
      <vt:lpstr>HoldTotal</vt:lpstr>
      <vt:lpstr>Interest</vt:lpstr>
      <vt:lpstr>LenderIncome</vt:lpstr>
      <vt:lpstr>Loan</vt:lpstr>
      <vt:lpstr>LTV</vt:lpstr>
      <vt:lpstr>MinIntAmt</vt:lpstr>
      <vt:lpstr>MinIntMonths</vt:lpstr>
      <vt:lpstr>MinIntPct</vt:lpstr>
      <vt:lpstr>NetHi</vt:lpstr>
      <vt:lpstr>NetLo</vt:lpstr>
      <vt:lpstr>NetPoint</vt:lpstr>
      <vt:lpstr>NetProfit</vt:lpstr>
      <vt:lpstr>Payoff</vt:lpstr>
      <vt:lpstr>PerDraw</vt:lpstr>
      <vt:lpstr>Points</vt:lpstr>
      <vt:lpstr>PointsAmt</vt:lpstr>
      <vt:lpstr>ProfitHi</vt:lpstr>
      <vt:lpstr>ProfitLo</vt:lpstr>
      <vt:lpstr>Purchase</vt:lpstr>
      <vt:lpstr>Rate</vt:lpstr>
      <vt:lpstr>RehabTotal</vt:lpstr>
      <vt:lpstr>RehabTranche</vt:lpstr>
      <vt:lpstr>SellCosts</vt:lpstr>
      <vt:lpstr>SellFixed</vt:lpstr>
      <vt:lpstr>SellVarPct</vt:lpstr>
      <vt:lpstr>TargetLoan</vt:lpstr>
      <vt:lpstr>TitlePct</vt:lpstr>
      <vt:lpstr>TotalCost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Tyrus Garrett</cp:lastModifiedBy>
  <dcterms:created xsi:type="dcterms:W3CDTF">2026-08-16T18:31:01Z</dcterms:created>
  <dcterms:modified xsi:type="dcterms:W3CDTF">2026-08-16T18:46:01Z</dcterms:modified>
</cp:coreProperties>
</file>